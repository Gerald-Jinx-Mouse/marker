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ob\source\repos\Gerald-Jinx-Mouse\BSAN_760_Digital_Transformation_and_Strategy\Class_5\"/>
    </mc:Choice>
  </mc:AlternateContent>
  <xr:revisionPtr revIDLastSave="0" documentId="8_{96713328-14A0-47F4-AA30-479C9193F9F4}" xr6:coauthVersionLast="47" xr6:coauthVersionMax="47" xr10:uidLastSave="{00000000-0000-0000-0000-000000000000}"/>
  <bookViews>
    <workbookView xWindow="-90" yWindow="0" windowWidth="19380" windowHeight="20970" tabRatio="754" firstSheet="14" activeTab="1" xr2:uid="{00000000-000D-0000-FFFF-FFFF00000000}"/>
  </bookViews>
  <sheets>
    <sheet name="ChatGPT" sheetId="9" r:id="rId1"/>
    <sheet name="Roles" sheetId="10" r:id="rId2"/>
    <sheet name="AppDescription" sheetId="14" r:id="rId3"/>
    <sheet name="ActiveUsers" sheetId="15" r:id="rId4"/>
    <sheet name="Elasticity" sheetId="16" r:id="rId5"/>
    <sheet name="DevSupportCosts" sheetId="17" r:id="rId6"/>
    <sheet name="Executive Dashboard" sheetId="1" r:id="rId7"/>
    <sheet name="App Financial Summary" sheetId="2" r:id="rId8"/>
    <sheet name="Price Elasticity" sheetId="4" r:id="rId9"/>
    <sheet name="User Trends" sheetId="3" r:id="rId10"/>
    <sheet name="Cost Structure" sheetId="5" r:id="rId11"/>
    <sheet name="Revenue Forecast" sheetId="6" r:id="rId12"/>
    <sheet name="30-60-90 Roadmap" sheetId="7" r:id="rId13"/>
    <sheet name="Presentation Talking Points" sheetId="8" r:id="rId14"/>
    <sheet name="Competitor Analysis" sheetId="12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<sst xmlns="http://schemas.openxmlformats.org/spreadsheetml/2006/main" count="533" uniqueCount="420">
  <si>
    <t>The roles you must define today (Feb 25) come directly from the task list in the PhantomSea case instructions .</t>
  </si>
  <si>
    <t>Tasks:</t>
  </si>
  <si>
    <t>Only two formal roles are required, but teams typically add a few supporting roles to execute the project effectively.</t>
  </si>
  <si>
    <t>Introductions within team (emails/contact info)</t>
  </si>
  <si>
    <t>Below is the exact breakdown.</t>
  </si>
  <si>
    <t xml:space="preserve">Name your car </t>
  </si>
  <si>
    <t>Required Team Roles (Explicitly Assigned Today)</t>
  </si>
  <si>
    <t>Name your team</t>
  </si>
  <si>
    <t>1. Team Point of Contact (POC)</t>
  </si>
  <si>
    <t>Write a mission statement</t>
  </si>
  <si>
    <t>Purpose: External communication owner.</t>
  </si>
  <si>
    <t>Ask questions and begin to validate assumptions about PhantomSea</t>
  </si>
  <si>
    <t>Responsibilities</t>
  </si>
  <si>
    <t>Designate a team point of contact (emailing presentation, emailing further questions, receiving feedback, etc.)</t>
  </si>
  <si>
    <t>Sends final presentation submission (due March 3, 7pm CST)</t>
  </si>
  <si>
    <t>Designate a presentation keeper (someone to look after version control and compiling of materials)</t>
  </si>
  <si>
    <t>Emails instructor with questions</t>
  </si>
  <si>
    <t>Define team meeting cadence/schedule</t>
  </si>
  <si>
    <t>Receives instructor feedback</t>
  </si>
  <si>
    <t>Communicates official updates to team</t>
  </si>
  <si>
    <t>Ensures deadlines are met</t>
  </si>
  <si>
    <t>Skill profile</t>
  </si>
  <si>
    <t>Organized</t>
  </si>
  <si>
    <t>Responsive to email</t>
  </si>
  <si>
    <t>Reliable with deadlines</t>
  </si>
  <si>
    <t>2. Presentation Keeper (Version Control Lead)</t>
  </si>
  <si>
    <t>Purpose: Internal deliverable owner.</t>
  </si>
  <si>
    <t>Maintains master slide deck</t>
  </si>
  <si>
    <t>Combines all team sections</t>
  </si>
  <si>
    <t>Controls versions and edits</t>
  </si>
  <si>
    <t>Ensures formatting consistency</t>
  </si>
  <si>
    <t>Prevents duplicate or outdated files</t>
  </si>
  <si>
    <t>Detail-oriented</t>
  </si>
  <si>
    <t>Comfortable with PowerPoint/Slides</t>
  </si>
  <si>
    <t>Good organizational habits</t>
  </si>
  <si>
    <t>Roles You Still Complete Today (But Not “Positions”)</t>
  </si>
  <si>
    <t>These are team tasks, not job titles:</t>
  </si>
  <si>
    <t>Team introductions</t>
  </si>
  <si>
    <t>Car name</t>
  </si>
  <si>
    <t>Team name</t>
  </si>
  <si>
    <t>Mission statement</t>
  </si>
  <si>
    <t>Assumption questions</t>
  </si>
  <si>
    <t>Meeting cadence</t>
  </si>
  <si>
    <t>(Everyone contributes.)</t>
  </si>
  <si>
    <t>Recommended Additional Roles (Strongly Advised)</t>
  </si>
  <si>
    <t>Not required by the document, but high-performing teams assign them early.</t>
  </si>
  <si>
    <t>3. Analytics Lead</t>
  </si>
  <si>
    <t>Owns the 33% analytics grading component.</t>
  </si>
  <si>
    <t>Responsibilities:</t>
  </si>
  <si>
    <t>Data exploration</t>
  </si>
  <si>
    <t>Forecast creation</t>
  </si>
  <si>
    <t>KPI design</t>
  </si>
  <si>
    <t>Method explanation for presentation</t>
  </si>
  <si>
    <t>(Strong fit given your analytics + finance background.)</t>
  </si>
  <si>
    <t>4. Business Strategy Lead</t>
  </si>
  <si>
    <t>Owns the “make business sense” grading category.</t>
  </si>
  <si>
    <t>Monetization model</t>
  </si>
  <si>
    <t>Pricing strategy</t>
  </si>
  <si>
    <t>Partnerships</t>
  </si>
  <si>
    <t>Revenue logic</t>
  </si>
  <si>
    <t>5. Technology/Product Lead</t>
  </si>
  <si>
    <t>Owns the plausible technology requirement.</t>
  </si>
  <si>
    <t>App ecosystem design</t>
  </si>
  <si>
    <t>Feature feasibility</t>
  </si>
  <si>
    <t>User experience logic</t>
  </si>
  <si>
    <t>Platform architecture explanation</t>
  </si>
  <si>
    <t>6. Storyline / Narrative Lead (Optional but Powerful)</t>
  </si>
  <si>
    <t>Ensures presentation flows logically.</t>
  </si>
  <si>
    <t>Builds story arc</t>
  </si>
  <si>
    <t>Aligns slides to executive narrative</t>
  </si>
  <si>
    <t>Keeps presentation cohesive</t>
  </si>
  <si>
    <t>Minimal Role Structure (Best Practice)</t>
  </si>
  <si>
    <t>If team size = 4–5 members:</t>
  </si>
  <si>
    <t>Point of Contact (required)</t>
  </si>
  <si>
    <t>Presentation Keeper (required)</t>
  </si>
  <si>
    <t>Analytics Lead</t>
  </si>
  <si>
    <t>Business Strategy Lead</t>
  </si>
  <si>
    <t>Technology/Product Lead</t>
  </si>
  <si>
    <t>Why These Roles Matter (Grading Alignment)</t>
  </si>
  <si>
    <t>Grading weights :</t>
  </si>
  <si>
    <t>Plausible technology → Tech/Product Lead</t>
  </si>
  <si>
    <t>Analytics explanation → Analytics Lead</t>
  </si>
  <si>
    <t>Business sense → Strategy Lead</t>
  </si>
  <si>
    <t>Assigning roles directly to grading categories reduces overlap and gaps.</t>
  </si>
  <si>
    <t>If needed, next step can be structured as:</t>
  </si>
  <si>
    <t>Exact role assignments recommendation based on typical MBA/BSAN team strengths</t>
  </si>
  <si>
    <t>or</t>
  </si>
  <si>
    <t>Who you should volunteer for strategically (highest grading leverage).</t>
  </si>
  <si>
    <t>1.       Introductions within team (emails/contact info)</t>
  </si>
  <si>
    <t>complete</t>
  </si>
  <si>
    <t>2.       Name your car</t>
  </si>
  <si>
    <t>Abyss GT</t>
  </si>
  <si>
    <t>3.       Name your team</t>
  </si>
  <si>
    <t>PhantomSea Digital Product Team</t>
  </si>
  <si>
    <t>4.       Write a mission statement</t>
  </si>
  <si>
    <t>"Always forward through data excellence"</t>
  </si>
  <si>
    <t>5.       Ask questions and begin to validate assumptions about PhantomSea</t>
  </si>
  <si>
    <t>in-progress</t>
  </si>
  <si>
    <t>6.       Designate a team point of contact (emailing presentation, emailing further questions, receiving feedback, etc.)</t>
  </si>
  <si>
    <t>Jacob Keiter</t>
  </si>
  <si>
    <t>7.       Designate a presentation keeper (someone to look after version control and compiling of materials)</t>
  </si>
  <si>
    <t>8.       Define team meeting cadence/schedule</t>
  </si>
  <si>
    <t>ad-hoc. Next meeting is _____</t>
  </si>
  <si>
    <t>Application Name</t>
  </si>
  <si>
    <t>Description</t>
  </si>
  <si>
    <t>Maker</t>
  </si>
  <si>
    <t>Unicorn Xplode</t>
  </si>
  <si>
    <t>Tactical Unicorns?... Why not! The newest Game from Tzynergism let's you throw unicorns at bad guys.</t>
  </si>
  <si>
    <t>Tzynergism</t>
  </si>
  <si>
    <t>Cat Scratchers</t>
  </si>
  <si>
    <t>Your everyday virtual cat. It won't die, poop, or actually scratch you. But you can pet its soft virtual fur all-day to relax!</t>
  </si>
  <si>
    <t>CATLY</t>
  </si>
  <si>
    <t>Map Directions</t>
  </si>
  <si>
    <t>Like every other Map App out there.. that you can't use in this car! If you need directions this is the only native app available.</t>
  </si>
  <si>
    <t>DigiMaps</t>
  </si>
  <si>
    <t>Toones</t>
  </si>
  <si>
    <t>Music streaming app brought to you by Tzynergism's music team. Audio when you drive, music videos when you park.</t>
  </si>
  <si>
    <t>NewNews</t>
  </si>
  <si>
    <t>The news. That's it. No adverts.</t>
  </si>
  <si>
    <t>Sloozer</t>
  </si>
  <si>
    <t>Speedper</t>
  </si>
  <si>
    <t>We never encourage speeding... but come on! Live a little! We let you know where radar traps are. BETA EDITION.</t>
  </si>
  <si>
    <t>App</t>
  </si>
  <si>
    <t>Jul</t>
  </si>
  <si>
    <t>Aug</t>
  </si>
  <si>
    <t>Sept</t>
  </si>
  <si>
    <t>Oct</t>
  </si>
  <si>
    <t>Nov</t>
  </si>
  <si>
    <t>Dec</t>
  </si>
  <si>
    <t>Jan</t>
  </si>
  <si>
    <t>NA</t>
  </si>
  <si>
    <t>Total Car Owners</t>
  </si>
  <si>
    <t>Cost (USD/Month)</t>
  </si>
  <si>
    <t>Price Adjustment Impact</t>
  </si>
  <si>
    <t>+.7% Users</t>
  </si>
  <si>
    <t>-1.25% Users</t>
  </si>
  <si>
    <t>+2.3% Users</t>
  </si>
  <si>
    <t>-36.1% Users</t>
  </si>
  <si>
    <t>+1.1% Users</t>
  </si>
  <si>
    <t>-2.9% Users</t>
  </si>
  <si>
    <t>+14.8% Users</t>
  </si>
  <si>
    <t>-3.52% Users</t>
  </si>
  <si>
    <t>+.25% Users</t>
  </si>
  <si>
    <t>-13.9% Users</t>
  </si>
  <si>
    <t>Costs</t>
  </si>
  <si>
    <t>Fixed Infrastructure Costs (USD)</t>
  </si>
  <si>
    <t>Customer Aquisition (USD/Users)</t>
  </si>
  <si>
    <t>Support Costs (USD/50 Users)</t>
  </si>
  <si>
    <t>$378/Month</t>
  </si>
  <si>
    <t>$152/Month</t>
  </si>
  <si>
    <t>$1010/Month</t>
  </si>
  <si>
    <t>$753/Month</t>
  </si>
  <si>
    <t>$285/Month</t>
  </si>
  <si>
    <t>$150/Month</t>
  </si>
  <si>
    <t>PhantomSea Digital Revenue - Executive Dashboard (Jan 2026)</t>
  </si>
  <si>
    <t>KPI Metric</t>
  </si>
  <si>
    <t>Value</t>
  </si>
  <si>
    <t>Context</t>
  </si>
  <si>
    <t>Monthly App Revenue</t>
  </si>
  <si>
    <t>$51,195</t>
  </si>
  <si>
    <t>6 apps across 30,112 vehicles</t>
  </si>
  <si>
    <t>Monthly Costs</t>
  </si>
  <si>
    <t>$16,003</t>
  </si>
  <si>
    <t>Infrastructure + Acquisition + Support</t>
  </si>
  <si>
    <t>Net Profit (Jan 2026)</t>
  </si>
  <si>
    <t>$35,192</t>
  </si>
  <si>
    <t>68.7% margin</t>
  </si>
  <si>
    <t>Avg Penetration Rate</t>
  </si>
  <si>
    <t>8.4%</t>
  </si>
  <si>
    <t>Huge upside potential</t>
  </si>
  <si>
    <t>30,112</t>
  </si>
  <si>
    <t>+65.6% since Jul 2025</t>
  </si>
  <si>
    <t>Active App Users</t>
  </si>
  <si>
    <t>15,197</t>
  </si>
  <si>
    <t>Across all 6 apps</t>
  </si>
  <si>
    <t>GRADING CRITERIA</t>
  </si>
  <si>
    <t>1. Plausible Technology (33%)</t>
  </si>
  <si>
    <t>Explain the tech stack - 5G connectivity, OLED touchscreen, AR windshield, app ecosystem</t>
  </si>
  <si>
    <t>2. Analytics Used (33%)</t>
  </si>
  <si>
    <t>Show data analysis methods - elasticity, forecasting, user trends, cost modeling</t>
  </si>
  <si>
    <t>3. Make Business Sense (33%)</t>
  </si>
  <si>
    <t>Strategies must be realistic and data-driven - pricing, bundles, partnerships, roadmap</t>
  </si>
  <si>
    <t>NO PIE CHARTS = ZERO GRADE</t>
  </si>
  <si>
    <t>TEAM 3 INFO</t>
  </si>
  <si>
    <t>Team Name</t>
  </si>
  <si>
    <t>Car Name</t>
  </si>
  <si>
    <t>Mission</t>
  </si>
  <si>
    <t>Always forward through data excellence</t>
  </si>
  <si>
    <t>POC / Pres. Keeper</t>
  </si>
  <si>
    <t>Presentation Slot</t>
  </si>
  <si>
    <t>3/4/2026 5:30-6:00pm (Team 3)</t>
  </si>
  <si>
    <t>Materials Due</t>
  </si>
  <si>
    <t>3/3/2026 by 7pm CST to Erazo@ku.edu</t>
  </si>
  <si>
    <t>Format</t>
  </si>
  <si>
    <t>25 min presentation (~5 min/person) + 5 min Q&amp;A</t>
  </si>
  <si>
    <t>Complete App Financial Summary - January 2026</t>
  </si>
  <si>
    <t>Users</t>
  </si>
  <si>
    <t>Price/Mo</t>
  </si>
  <si>
    <t>Revenue</t>
  </si>
  <si>
    <t>Total Cost</t>
  </si>
  <si>
    <t>Profit</t>
  </si>
  <si>
    <t>Margin</t>
  </si>
  <si>
    <t>Penetration</t>
  </si>
  <si>
    <t>Trend</t>
  </si>
  <si>
    <t>66.4%</t>
  </si>
  <si>
    <t>18.8%</t>
  </si>
  <si>
    <t>Stable +1.6%</t>
  </si>
  <si>
    <t>75.1%</t>
  </si>
  <si>
    <t>23.5%</t>
  </si>
  <si>
    <t>Growing +4.8%</t>
  </si>
  <si>
    <t>76.5%</t>
  </si>
  <si>
    <t>4.8%</t>
  </si>
  <si>
    <t>Declining -32.1%</t>
  </si>
  <si>
    <t>41.6%</t>
  </si>
  <si>
    <t>2.2%</t>
  </si>
  <si>
    <t>Declining -50.7%</t>
  </si>
  <si>
    <t>40.9%</t>
  </si>
  <si>
    <t>1.1%</t>
  </si>
  <si>
    <t>Volatile</t>
  </si>
  <si>
    <t>N/A</t>
  </si>
  <si>
    <t>0.1%</t>
  </si>
  <si>
    <t>Beta +127%</t>
  </si>
  <si>
    <t>TOTAL</t>
  </si>
  <si>
    <t>—</t>
  </si>
  <si>
    <t>68.7%</t>
  </si>
  <si>
    <t>REVENUE CONCENTRATION WARNING</t>
  </si>
  <si>
    <t>Map Directions + Toones = 93% of all revenue</t>
  </si>
  <si>
    <t>Map Directions alone = 58% of revenue ($29,715)</t>
  </si>
  <si>
    <t>Only 2 of 6 apps are meaningful revenue drivers</t>
  </si>
  <si>
    <t>Total penetration only ~8.4% — massive room to grow</t>
  </si>
  <si>
    <t>Price Elasticity Analysis — Impact of $0.50 Price Changes</t>
  </si>
  <si>
    <t>Current Price</t>
  </si>
  <si>
    <t>Price -$0.50 (User Gain)</t>
  </si>
  <si>
    <t>Price +$0.50 (User Loss)</t>
  </si>
  <si>
    <t>Interpretation</t>
  </si>
  <si>
    <t>$2.50</t>
  </si>
  <si>
    <t>+14.8%</t>
  </si>
  <si>
    <t>-3.52%</t>
  </si>
  <si>
    <t>MASSIVE upside — discount drives adoption; users highly value it</t>
  </si>
  <si>
    <t>$0.99</t>
  </si>
  <si>
    <t>+2.3%</t>
  </si>
  <si>
    <t>-36.1%</t>
  </si>
  <si>
    <t>EXTREMELY price-sensitive upside — any increase kills it</t>
  </si>
  <si>
    <t>$5.25</t>
  </si>
  <si>
    <t>+1.1%</t>
  </si>
  <si>
    <t>-2.9%</t>
  </si>
  <si>
    <t>INELASTIC — captive audience (only nav app), could raise price</t>
  </si>
  <si>
    <t>$1.50</t>
  </si>
  <si>
    <t>+0.7%</t>
  </si>
  <si>
    <t>-1.25%</t>
  </si>
  <si>
    <t>Low sensitivity either way — product issue, not price issue</t>
  </si>
  <si>
    <t>$1.99</t>
  </si>
  <si>
    <t>+0.25%</t>
  </si>
  <si>
    <t>-13.9%</t>
  </si>
  <si>
    <t>Users leaving regardless of price — needs product overhaul</t>
  </si>
  <si>
    <t>$0.00</t>
  </si>
  <si>
    <t>Free beta — needs monetization strategy post-launch</t>
  </si>
  <si>
    <t>PRICING RECOMMENDATIONS</t>
  </si>
  <si>
    <t>RAISE to $5.75</t>
  </si>
  <si>
    <t>Only -2.9% churn; captive audience. Adds ~$2,831/mo revenue</t>
  </si>
  <si>
    <t>PROMO: $0.50 off for 3 months</t>
  </si>
  <si>
    <t>+14.8% users = ~1,046 new users. Long-term revenue uplift</t>
  </si>
  <si>
    <t>KEEP at $0.99</t>
  </si>
  <si>
    <t>Any increase loses 36% of users. Focus on volume</t>
  </si>
  <si>
    <t>DO NOT discount</t>
  </si>
  <si>
    <t>Only +0.25% gain from discount. Fix the product first</t>
  </si>
  <si>
    <t>LAUNCH at $0.99/mo</t>
  </si>
  <si>
    <t>Post-beta monetization. Currently costing $150/mo for $0 revenue</t>
  </si>
  <si>
    <t>BUNDLE</t>
  </si>
  <si>
    <t>PhantomSea Essentials: Map + Toones @ $6.99/mo</t>
  </si>
  <si>
    <t>Discount vs. $7.75 separate; drives dual adoption</t>
  </si>
  <si>
    <t>Active Users Over Time (Jul 2025 - Jan 2026)</t>
  </si>
  <si>
    <t>Jul 25</t>
  </si>
  <si>
    <t>Aug 25</t>
  </si>
  <si>
    <t>Sep 25</t>
  </si>
  <si>
    <t>Oct 25</t>
  </si>
  <si>
    <t>Nov 25</t>
  </si>
  <si>
    <t>Dec 25</t>
  </si>
  <si>
    <t>Jan 26</t>
  </si>
  <si>
    <t>Change (Jul→Jan)</t>
  </si>
  <si>
    <t>+4.8%</t>
  </si>
  <si>
    <t>+1.6%</t>
  </si>
  <si>
    <t>-32.1%</t>
  </si>
  <si>
    <t>-50.7%</t>
  </si>
  <si>
    <t>+10.3%</t>
  </si>
  <si>
    <t>+65.6%</t>
  </si>
  <si>
    <t>DATA QUALITY NOTES</t>
  </si>
  <si>
    <t>Unicorn Xplode: Dec 2025 data MISSING, then drops to 1,440 in Jan (possible outage?)</t>
  </si>
  <si>
    <t>Toones: Sep 2025 data MISSING</t>
  </si>
  <si>
    <t>Speedper: Only exists since Oct 2025 (new beta app, free)</t>
  </si>
  <si>
    <t>Cat Scratchers: Wildly volatile month-to-month — unreliable without understanding why</t>
  </si>
  <si>
    <t>Car fleet growing +65.6% but app adoption not keeping up = opportunity gap</t>
  </si>
  <si>
    <t>Cost Structure Breakdown — January 2026</t>
  </si>
  <si>
    <t>Fixed Infra/Mo</t>
  </si>
  <si>
    <t>CAC ($/User)</t>
  </si>
  <si>
    <t>Support ($/50 Users)</t>
  </si>
  <si>
    <t>Jan Users</t>
  </si>
  <si>
    <t>Total Infra</t>
  </si>
  <si>
    <t>Total Acq Cost</t>
  </si>
  <si>
    <t>Total Support</t>
  </si>
  <si>
    <t>TOTAL COST</t>
  </si>
  <si>
    <t>KEY PARTNER: Tzynergism</t>
  </si>
  <si>
    <t>Makes 3 of 6 apps: Unicorn Xplode, Toones, Speedper</t>
  </si>
  <si>
    <t>Tzynergism controls 50% of apps and ~39% of revenue — critical partnership</t>
  </si>
  <si>
    <t>90-Day Revenue Forecast (Jan-Apr 2026)</t>
  </si>
  <si>
    <t>Scenario</t>
  </si>
  <si>
    <t>Jan 2026</t>
  </si>
  <si>
    <t>Feb 2026</t>
  </si>
  <si>
    <t>Mar 2026</t>
  </si>
  <si>
    <t>Apr 2026</t>
  </si>
  <si>
    <t>Growth</t>
  </si>
  <si>
    <t>Conservative</t>
  </si>
  <si>
    <t>+37.7%</t>
  </si>
  <si>
    <t>Aggressive (w/ Roadmap)</t>
  </si>
  <si>
    <t>+91.8%</t>
  </si>
  <si>
    <t>Status Quo (No Action)</t>
  </si>
  <si>
    <t>-3.9%</t>
  </si>
  <si>
    <t>FORECAST ASSUMPTIONS</t>
  </si>
  <si>
    <t>Conservative: 5% monthly user growth from roadmap, Toones promo +14.8% users month 1, Map price to $5.75</t>
  </si>
  <si>
    <t>Aggressive: Adds bundle adoption (15% users), annual subscriptions, 3rd-party marketplace revenue</t>
  </si>
  <si>
    <t>Status Quo: No changes — declining apps continue trend, no new initiatives</t>
  </si>
  <si>
    <t>All scenarios: Car fleet growing ~5% monthly based on Jul-Jan trend</t>
  </si>
  <si>
    <t>Proposed 30-60-90 Day Digital Revenue Roadmap</t>
  </si>
  <si>
    <t>Phase</t>
  </si>
  <si>
    <t>Action Item</t>
  </si>
  <si>
    <t>Category</t>
  </si>
  <si>
    <t>Expected Impact</t>
  </si>
  <si>
    <t>Days 1-30</t>
  </si>
  <si>
    <t>Launch Toones promo: $0.50 off first 3 months</t>
  </si>
  <si>
    <t>Pricing</t>
  </si>
  <si>
    <t>+14.8% users (~1,046)</t>
  </si>
  <si>
    <t>Test Map Directions price increase to $5.75</t>
  </si>
  <si>
    <t>Only -2.9% churn, +$2,831/mo</t>
  </si>
  <si>
    <t>Investigate Unicorn Xplode Dec outage / user loss</t>
  </si>
  <si>
    <t>Analytics</t>
  </si>
  <si>
    <t>Diagnose -32% decline</t>
  </si>
  <si>
    <t>Create bundle: "PhantomSea Essentials" Map+Toones @ $6.99/mo</t>
  </si>
  <si>
    <t>Bundling</t>
  </si>
  <si>
    <t>Drive dual adoption</t>
  </si>
  <si>
    <t>Monetize Speedper: launch at $0.99/mo post-beta</t>
  </si>
  <si>
    <t>New revenue stream</t>
  </si>
  <si>
    <t>Add onboarding pop-up for new car owners to discover apps</t>
  </si>
  <si>
    <t>Technology</t>
  </si>
  <si>
    <t>Boost 8.4% penetration</t>
  </si>
  <si>
    <t>Days 31-60</t>
  </si>
  <si>
    <t>Launch annual subscription option (10-15% discount)</t>
  </si>
  <si>
    <t>Reduce churn, lock-in revenue</t>
  </si>
  <si>
    <t>Partner with Tzynergism on exclusive PhantomSea gaming content</t>
  </si>
  <si>
    <t>Partnership</t>
  </si>
  <si>
    <t>Differentiation</t>
  </si>
  <si>
    <t>Rebuild or sunset NewNews (product issue, not price)</t>
  </si>
  <si>
    <t>Product</t>
  </si>
  <si>
    <t>Stop -51% bleeding</t>
  </si>
  <si>
    <t>A/B test free trial periods for non-subscribers</t>
  </si>
  <si>
    <t>Data-driven conversion</t>
  </si>
  <si>
    <t>Introduce in-app purchases for Unicorn Xplode (skins, levels)</t>
  </si>
  <si>
    <t>New revenue model</t>
  </si>
  <si>
    <t>Launch referral program: 1 month free for referrals</t>
  </si>
  <si>
    <t>Viral acquisition</t>
  </si>
  <si>
    <t>Days 61-90</t>
  </si>
  <si>
    <t>Open app marketplace to 3rd-party developers (rev share)</t>
  </si>
  <si>
    <t>Platform</t>
  </si>
  <si>
    <t>Ecosystem expansion</t>
  </si>
  <si>
    <t>Launch premium tier: "PhantomSea+" with AR windshield apps</t>
  </si>
  <si>
    <t>Premium revenue tier</t>
  </si>
  <si>
    <t>Integrate ads into free/beta apps (Speedper) for passive revenue</t>
  </si>
  <si>
    <t>Monetization</t>
  </si>
  <si>
    <t>Secondary revenue</t>
  </si>
  <si>
    <t>Partner with Spotify/Netflix for bundled streaming deals</t>
  </si>
  <si>
    <t>User acquisition</t>
  </si>
  <si>
    <t>Implement smart recommendations via AI assistant data</t>
  </si>
  <si>
    <t>Personalized upselling</t>
  </si>
  <si>
    <t>Evaluate acquisition of CATLY or Sloozer to control more apps</t>
  </si>
  <si>
    <t>Strategy</t>
  </si>
  <si>
    <t>Vertical integration</t>
  </si>
  <si>
    <t>Key Insights &amp; Talking Points for Presentation</t>
  </si>
  <si>
    <t>SLIDE STRUCTURE SUGGESTION</t>
  </si>
  <si>
    <t>Slide 1: Title</t>
  </si>
  <si>
    <t>PhantomSea Digital Revenue Strategy — Team 3 (Abyss GT)</t>
  </si>
  <si>
    <t>Slide 2: Executive Summary</t>
  </si>
  <si>
    <t>KPIs: $51K revenue, $35K profit, 68.7% margin, 8.4% penetration across 30K vehicles</t>
  </si>
  <si>
    <t>Slide 3: The Problem</t>
  </si>
  <si>
    <t>Car sales slowing from economic downturn; app revenue is small but has massive growth potential</t>
  </si>
  <si>
    <t>Slide 4: Technology Stack</t>
  </si>
  <si>
    <t>5G OLED touchscreen, AR windshield, biometric sensors, smart assistant — explain how apps leverage these [33% grade]</t>
  </si>
  <si>
    <t>Slide 5: App Performance</t>
  </si>
  <si>
    <t>Financial summary table — Map Directions + Toones = 93% of revenue; show user trends chart</t>
  </si>
  <si>
    <t>Slide 6: Analytics Deep-Dive</t>
  </si>
  <si>
    <t>Price elasticity analysis, cost modeling, user trend analysis — explain methods used [33% grade]</t>
  </si>
  <si>
    <t>Slide 7: Pricing Strategy</t>
  </si>
  <si>
    <t>Raise Map to $5.75, Toones promo, bundle at $6.99, monetize Speedper — all data-backed</t>
  </si>
  <si>
    <t>Slide 8: Revenue Forecast</t>
  </si>
  <si>
    <t>3 scenarios: Status Quo ($49K), Conservative ($70K), Aggressive ($98K) by Apr 2026</t>
  </si>
  <si>
    <t>Slide 9: 30-60-90 Roadmap</t>
  </si>
  <si>
    <t>Phase 1: Quick wins (pricing). Phase 2: Growth (partnerships, trials). Phase 3: Scale (platform, AI)</t>
  </si>
  <si>
    <t>Slide 10: Risks &amp; Mitigations</t>
  </si>
  <si>
    <t>Revenue concentration, Tzynergism dependency, declining apps, low penetration</t>
  </si>
  <si>
    <t>Slide 11: Q&amp;A</t>
  </si>
  <si>
    <t>Backup data ready — cost breakdowns, elasticity details, data quality notes</t>
  </si>
  <si>
    <t>PERSON-BY-PERSON SUGGESTION (5 min each)</t>
  </si>
  <si>
    <t>Person 1 (5 min)</t>
  </si>
  <si>
    <t>Slides 1-3: Intro, Executive Summary, The Problem — set the stage</t>
  </si>
  <si>
    <t>Person 2 (5 min)</t>
  </si>
  <si>
    <t>Slides 4-5: Technology Stack + App Performance — explain tech &amp; current state [Plausible Tech grade]</t>
  </si>
  <si>
    <t>Person 3 (5 min)</t>
  </si>
  <si>
    <t>Slides 6-7: Analytics Deep-Dive + Pricing Strategy — show your methods [Analytics grade]</t>
  </si>
  <si>
    <t>Person 4 (5 min)</t>
  </si>
  <si>
    <t>Slides 8-10: Revenue Forecast + Roadmap + Risks — the business case [Business Sense grade]</t>
  </si>
  <si>
    <t>Backup (shared)</t>
  </si>
  <si>
    <t>Slide 11: Q&amp;A — everyone contributes based on their section</t>
  </si>
  <si>
    <t xml:space="preserve">EV Manufacturer </t>
  </si>
  <si>
    <t>Market Share</t>
  </si>
  <si>
    <t>Profit Margin</t>
  </si>
  <si>
    <t xml:space="preserve">Tesla, Inc. </t>
  </si>
  <si>
    <t xml:space="preserve">Toyota Motor Company </t>
  </si>
  <si>
    <t>Ford Motor Co</t>
  </si>
  <si>
    <t>Honda Motor Co Ltd</t>
  </si>
  <si>
    <t xml:space="preserve">General Motors Company </t>
  </si>
  <si>
    <t>Hyundai Motor Group</t>
  </si>
  <si>
    <t xml:space="preserve">Rivian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</si>
</sst>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\$#,##0.00"/>
    <numFmt numFmtId="165" formatCode="\$#,##0"/>
    <numFmt numFmtId="166" formatCode="\$#,##0.000"/>
    <numFmt numFmtId="167" formatCode="&quot;$&quot;#,##0.000"/>
    <numFmt numFmtId="168" formatCode="0.0%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charset val="1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4"/>
      <color rgb="FFFFFFFF"/>
      <name val="Calibri"/>
      <family val="2"/>
      <scheme val="minor"/>
    </font>
    <font>
      <b/>
      <sz val="11"/>
      <color rgb="FF333333"/>
      <name val="Calibri"/>
    </font>
    <font>
      <sz val="11"/>
      <color rgb="FF333333"/>
      <name val="Calibri"/>
    </font>
    <font>
      <b/>
      <sz val="11"/>
      <color rgb="FF2F5496"/>
      <name val="Calibri"/>
      <family val="2"/>
      <scheme val="minor"/>
    </font>
    <font>
      <b/>
      <sz val="12"/>
      <color rgb="FF2F5496"/>
      <name val="Calibri"/>
    </font>
    <font>
      <b/>
      <sz val="12"/>
      <color rgb="FF2F5496"/>
      <name val="Calibri"/>
      <family val="2"/>
      <scheme val="minor"/>
    </font>
    <font>
      <b/>
      <sz val="11"/>
      <color rgb="FFBF0000"/>
      <name val="Calibri"/>
      <family val="2"/>
      <scheme val="minor"/>
    </font>
    <font>
      <b/>
      <sz val="11"/>
      <color rgb="FFBF0000"/>
      <name val="Calibri"/>
    </font>
    <font>
      <b/>
      <sz val="10"/>
      <color rgb="FF333333"/>
      <name val="Calibri"/>
    </font>
    <font>
      <b/>
      <sz val="11"/>
      <color rgb="FF2F5496"/>
      <name val="Calibri"/>
    </font>
    <font>
      <b/>
      <sz val="12"/>
      <color rgb="FFBF0000"/>
      <name val="Calibri"/>
    </font>
    <font>
      <b/>
      <sz val="12"/>
      <color rgb="FFBF0000"/>
      <name val="Calibri"/>
      <family val="2"/>
      <scheme val="minor"/>
    </font>
    <font>
      <sz val="11"/>
      <color rgb="FF7F6000"/>
      <name val="Calibri"/>
    </font>
    <font>
      <sz val="11"/>
      <color rgb="FF7F6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5F8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7E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E8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4472C4"/>
      </bottom>
      <diagonal/>
    </border>
    <border>
      <left style="thin">
        <color rgb="FFD0D0D0"/>
      </left>
      <right style="thin">
        <color rgb="FFD0D0D0"/>
      </right>
      <top style="thin">
        <color rgb="FF4472C4"/>
      </top>
      <bottom style="thin">
        <color rgb="FFD0D0D0"/>
      </bottom>
      <diagonal/>
    </border>
    <border>
      <left style="thin">
        <color rgb="FF4472C4"/>
      </left>
      <right style="thin">
        <color rgb="FFD0D0D0"/>
      </right>
      <top style="thin">
        <color rgb="FF4472C4"/>
      </top>
      <bottom style="thin">
        <color rgb="FFD0D0D0"/>
      </bottom>
      <diagonal/>
    </border>
    <border>
      <left style="thin">
        <color rgb="FF4472C4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4472C4"/>
      </left>
      <right style="thin">
        <color rgb="FFD0D0D0"/>
      </right>
      <top style="thin">
        <color rgb="FFD0D0D0"/>
      </top>
      <bottom style="thin">
        <color rgb="FF4472C4"/>
      </bottom>
      <diagonal/>
    </border>
    <border>
      <left style="thin">
        <color rgb="FFD0D0D0"/>
      </left>
      <right style="thin">
        <color rgb="FF4472C4"/>
      </right>
      <top style="thin">
        <color rgb="FF4472C4"/>
      </top>
      <bottom style="thin">
        <color rgb="FFD0D0D0"/>
      </bottom>
      <diagonal/>
    </border>
    <border>
      <left style="thin">
        <color rgb="FFD0D0D0"/>
      </left>
      <right style="thin">
        <color rgb="FF4472C4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4472C4"/>
      </right>
      <top style="thin">
        <color rgb="FFD0D0D0"/>
      </top>
      <bottom style="thin">
        <color rgb="FF4472C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4472C4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4472C4"/>
      </right>
      <top style="thin">
        <color rgb="FFD0D0D0"/>
      </top>
      <bottom/>
      <diagonal/>
    </border>
    <border>
      <left style="thin">
        <color rgb="FF4472C4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4472C4"/>
      </right>
      <top/>
      <bottom style="thin">
        <color rgb="FFD0D0D0"/>
      </bottom>
      <diagonal/>
    </border>
    <border>
      <left style="thin">
        <color rgb="FF4472C4"/>
      </left>
      <right style="thin">
        <color rgb="FFD0D0D0"/>
      </right>
      <top style="thin">
        <color rgb="FFD0D0D0"/>
      </top>
      <bottom style="medium">
        <color rgb="FF4472C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4472C4"/>
      </bottom>
      <diagonal/>
    </border>
    <border>
      <left style="thin">
        <color rgb="FFD0D0D0"/>
      </left>
      <right style="thin">
        <color rgb="FF4472C4"/>
      </right>
      <top style="thin">
        <color rgb="FFD0D0D0"/>
      </top>
      <bottom style="medium">
        <color rgb="FF4472C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7" fillId="2" borderId="0" xfId="0" applyFont="1" applyFill="1"/>
    <xf numFmtId="0" fontId="0" fillId="3" borderId="0" xfId="0" applyFill="1"/>
    <xf numFmtId="0" fontId="8" fillId="4" borderId="10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8" fillId="4" borderId="14" xfId="0" applyFont="1" applyFill="1" applyBorder="1"/>
    <xf numFmtId="0" fontId="8" fillId="3" borderId="14" xfId="0" applyFont="1" applyFill="1" applyBorder="1"/>
    <xf numFmtId="0" fontId="8" fillId="3" borderId="15" xfId="0" applyFont="1" applyFill="1" applyBorder="1"/>
    <xf numFmtId="0" fontId="5" fillId="2" borderId="16" xfId="0" applyFont="1" applyFill="1" applyBorder="1" applyAlignment="1">
      <alignment horizontal="center" vertical="center"/>
    </xf>
    <xf numFmtId="0" fontId="9" fillId="4" borderId="17" xfId="0" applyFont="1" applyFill="1" applyBorder="1"/>
    <xf numFmtId="0" fontId="9" fillId="3" borderId="17" xfId="0" applyFont="1" applyFill="1" applyBorder="1"/>
    <xf numFmtId="0" fontId="9" fillId="3" borderId="18" xfId="0" applyFont="1" applyFill="1" applyBorder="1"/>
    <xf numFmtId="0" fontId="11" fillId="5" borderId="0" xfId="0" applyFont="1" applyFill="1"/>
    <xf numFmtId="0" fontId="12" fillId="5" borderId="0" xfId="0" applyFont="1" applyFill="1"/>
    <xf numFmtId="0" fontId="8" fillId="3" borderId="0" xfId="0" applyFont="1" applyFill="1"/>
    <xf numFmtId="0" fontId="9" fillId="3" borderId="0" xfId="0" applyFont="1" applyFill="1"/>
    <xf numFmtId="0" fontId="13" fillId="6" borderId="0" xfId="0" applyFont="1" applyFill="1"/>
    <xf numFmtId="0" fontId="14" fillId="6" borderId="0" xfId="0" applyFont="1" applyFill="1"/>
    <xf numFmtId="0" fontId="11" fillId="5" borderId="13" xfId="0" applyFont="1" applyFill="1" applyBorder="1"/>
    <xf numFmtId="0" fontId="15" fillId="4" borderId="14" xfId="0" applyFont="1" applyFill="1" applyBorder="1"/>
    <xf numFmtId="0" fontId="15" fillId="3" borderId="14" xfId="0" applyFont="1" applyFill="1" applyBorder="1"/>
    <xf numFmtId="0" fontId="15" fillId="4" borderId="15" xfId="0" applyFont="1" applyFill="1" applyBorder="1"/>
    <xf numFmtId="0" fontId="12" fillId="5" borderId="16" xfId="0" applyFont="1" applyFill="1" applyBorder="1"/>
    <xf numFmtId="0" fontId="9" fillId="4" borderId="18" xfId="0" applyFont="1" applyFill="1" applyBorder="1"/>
    <xf numFmtId="0" fontId="9" fillId="4" borderId="10" xfId="0" applyFont="1" applyFill="1" applyBorder="1" applyAlignment="1">
      <alignment horizontal="center" vertical="center"/>
    </xf>
    <xf numFmtId="164" fontId="9" fillId="4" borderId="10" xfId="0" applyNumberFormat="1" applyFont="1" applyFill="1" applyBorder="1" applyAlignment="1">
      <alignment horizontal="center" vertical="center"/>
    </xf>
    <xf numFmtId="165" fontId="8" fillId="4" borderId="10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164" fontId="9" fillId="3" borderId="10" xfId="0" applyNumberFormat="1" applyFont="1" applyFill="1" applyBorder="1" applyAlignment="1">
      <alignment horizontal="center" vertical="center"/>
    </xf>
    <xf numFmtId="165" fontId="8" fillId="3" borderId="10" xfId="0" applyNumberFormat="1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165" fontId="16" fillId="5" borderId="11" xfId="0" applyNumberFormat="1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7" fillId="6" borderId="0" xfId="0" applyFont="1" applyFill="1"/>
    <xf numFmtId="0" fontId="18" fillId="6" borderId="0" xfId="0" applyFont="1" applyFill="1"/>
    <xf numFmtId="0" fontId="19" fillId="6" borderId="0" xfId="0" applyFont="1" applyFill="1"/>
    <xf numFmtId="0" fontId="20" fillId="6" borderId="0" xfId="0" applyFont="1" applyFill="1"/>
    <xf numFmtId="0" fontId="16" fillId="5" borderId="15" xfId="0" applyFont="1" applyFill="1" applyBorder="1"/>
    <xf numFmtId="0" fontId="21" fillId="3" borderId="0" xfId="0" applyFont="1" applyFill="1"/>
    <xf numFmtId="0" fontId="9" fillId="3" borderId="11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left" vertical="top" wrapText="1"/>
    </xf>
    <xf numFmtId="0" fontId="9" fillId="3" borderId="17" xfId="0" applyFont="1" applyFill="1" applyBorder="1" applyAlignment="1">
      <alignment horizontal="left" vertical="top" wrapText="1"/>
    </xf>
    <xf numFmtId="0" fontId="9" fillId="3" borderId="18" xfId="0" applyFont="1" applyFill="1" applyBorder="1" applyAlignment="1">
      <alignment horizontal="left" vertical="top" wrapText="1"/>
    </xf>
    <xf numFmtId="0" fontId="16" fillId="4" borderId="10" xfId="0" applyFont="1" applyFill="1" applyBorder="1"/>
    <xf numFmtId="0" fontId="16" fillId="3" borderId="10" xfId="0" applyFont="1" applyFill="1" applyBorder="1"/>
    <xf numFmtId="0" fontId="16" fillId="3" borderId="11" xfId="0" applyFont="1" applyFill="1" applyBorder="1"/>
    <xf numFmtId="0" fontId="12" fillId="5" borderId="12" xfId="0" applyFont="1" applyFill="1" applyBorder="1"/>
    <xf numFmtId="165" fontId="9" fillId="4" borderId="10" xfId="0" applyNumberFormat="1" applyFont="1" applyFill="1" applyBorder="1" applyAlignment="1">
      <alignment horizontal="center" vertical="center"/>
    </xf>
    <xf numFmtId="166" fontId="9" fillId="4" borderId="10" xfId="0" applyNumberFormat="1" applyFont="1" applyFill="1" applyBorder="1" applyAlignment="1">
      <alignment horizontal="center" vertical="center"/>
    </xf>
    <xf numFmtId="165" fontId="9" fillId="3" borderId="10" xfId="0" applyNumberFormat="1" applyFont="1" applyFill="1" applyBorder="1" applyAlignment="1">
      <alignment horizontal="center" vertical="center"/>
    </xf>
    <xf numFmtId="166" fontId="9" fillId="3" borderId="10" xfId="0" applyNumberFormat="1" applyFont="1" applyFill="1" applyBorder="1" applyAlignment="1">
      <alignment horizontal="center" vertical="center"/>
    </xf>
    <xf numFmtId="0" fontId="10" fillId="5" borderId="11" xfId="0" applyFont="1" applyFill="1" applyBorder="1"/>
    <xf numFmtId="165" fontId="9" fillId="4" borderId="17" xfId="0" applyNumberFormat="1" applyFont="1" applyFill="1" applyBorder="1" applyAlignment="1">
      <alignment horizontal="center" vertical="center"/>
    </xf>
    <xf numFmtId="165" fontId="9" fillId="3" borderId="17" xfId="0" applyNumberFormat="1" applyFont="1" applyFill="1" applyBorder="1" applyAlignment="1">
      <alignment horizontal="center" vertical="center"/>
    </xf>
    <xf numFmtId="165" fontId="16" fillId="5" borderId="18" xfId="0" applyNumberFormat="1" applyFont="1" applyFill="1" applyBorder="1" applyAlignment="1">
      <alignment horizontal="center" vertical="center"/>
    </xf>
    <xf numFmtId="165" fontId="9" fillId="4" borderId="11" xfId="0" applyNumberFormat="1" applyFont="1" applyFill="1" applyBorder="1" applyAlignment="1">
      <alignment horizontal="center" vertical="center"/>
    </xf>
    <xf numFmtId="0" fontId="8" fillId="4" borderId="15" xfId="0" applyFont="1" applyFill="1" applyBorder="1"/>
    <xf numFmtId="0" fontId="8" fillId="4" borderId="18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left" vertical="top" wrapText="1"/>
    </xf>
    <xf numFmtId="0" fontId="8" fillId="7" borderId="10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left" vertical="top" wrapText="1"/>
    </xf>
    <xf numFmtId="0" fontId="8" fillId="8" borderId="10" xfId="0" applyFont="1" applyFill="1" applyBorder="1" applyAlignment="1">
      <alignment horizontal="center" vertical="center"/>
    </xf>
    <xf numFmtId="0" fontId="9" fillId="9" borderId="10" xfId="0" applyFont="1" applyFill="1" applyBorder="1" applyAlignment="1">
      <alignment horizontal="left" vertical="top" wrapText="1"/>
    </xf>
    <xf numFmtId="0" fontId="8" fillId="9" borderId="10" xfId="0" applyFont="1" applyFill="1" applyBorder="1" applyAlignment="1">
      <alignment horizontal="center" vertical="center"/>
    </xf>
    <xf numFmtId="0" fontId="9" fillId="10" borderId="10" xfId="0" applyFont="1" applyFill="1" applyBorder="1" applyAlignment="1">
      <alignment horizontal="left" vertical="top" wrapText="1"/>
    </xf>
    <xf numFmtId="0" fontId="8" fillId="10" borderId="10" xfId="0" applyFont="1" applyFill="1" applyBorder="1" applyAlignment="1">
      <alignment horizontal="center" vertical="center"/>
    </xf>
    <xf numFmtId="0" fontId="9" fillId="11" borderId="10" xfId="0" applyFont="1" applyFill="1" applyBorder="1" applyAlignment="1">
      <alignment horizontal="left" vertical="top" wrapText="1"/>
    </xf>
    <xf numFmtId="0" fontId="8" fillId="11" borderId="10" xfId="0" applyFont="1" applyFill="1" applyBorder="1" applyAlignment="1">
      <alignment horizontal="center" vertical="center"/>
    </xf>
    <xf numFmtId="0" fontId="9" fillId="12" borderId="10" xfId="0" applyFont="1" applyFill="1" applyBorder="1" applyAlignment="1">
      <alignment horizontal="left" vertical="top" wrapText="1"/>
    </xf>
    <xf numFmtId="0" fontId="8" fillId="12" borderId="10" xfId="0" applyFont="1" applyFill="1" applyBorder="1" applyAlignment="1">
      <alignment horizontal="center" vertical="center"/>
    </xf>
    <xf numFmtId="0" fontId="9" fillId="12" borderId="11" xfId="0" applyFont="1" applyFill="1" applyBorder="1" applyAlignment="1">
      <alignment horizontal="left" vertical="top" wrapText="1"/>
    </xf>
    <xf numFmtId="0" fontId="8" fillId="12" borderId="11" xfId="0" applyFont="1" applyFill="1" applyBorder="1" applyAlignment="1">
      <alignment horizontal="center" vertical="center"/>
    </xf>
    <xf numFmtId="0" fontId="8" fillId="7" borderId="14" xfId="0" applyFont="1" applyFill="1" applyBorder="1"/>
    <xf numFmtId="0" fontId="8" fillId="8" borderId="14" xfId="0" applyFont="1" applyFill="1" applyBorder="1"/>
    <xf numFmtId="0" fontId="8" fillId="9" borderId="14" xfId="0" applyFont="1" applyFill="1" applyBorder="1"/>
    <xf numFmtId="0" fontId="8" fillId="10" borderId="14" xfId="0" applyFont="1" applyFill="1" applyBorder="1"/>
    <xf numFmtId="0" fontId="8" fillId="11" borderId="14" xfId="0" applyFont="1" applyFill="1" applyBorder="1"/>
    <xf numFmtId="0" fontId="8" fillId="12" borderId="14" xfId="0" applyFont="1" applyFill="1" applyBorder="1"/>
    <xf numFmtId="0" fontId="8" fillId="12" borderId="15" xfId="0" applyFont="1" applyFill="1" applyBorder="1"/>
    <xf numFmtId="0" fontId="8" fillId="7" borderId="17" xfId="0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0" fontId="8" fillId="9" borderId="17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8" fillId="11" borderId="17" xfId="0" applyFont="1" applyFill="1" applyBorder="1" applyAlignment="1">
      <alignment horizontal="center" vertical="center"/>
    </xf>
    <xf numFmtId="0" fontId="8" fillId="12" borderId="1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0" fontId="8" fillId="7" borderId="20" xfId="0" applyFont="1" applyFill="1" applyBorder="1"/>
    <xf numFmtId="0" fontId="9" fillId="7" borderId="19" xfId="0" applyFont="1" applyFill="1" applyBorder="1" applyAlignment="1">
      <alignment horizontal="left" vertical="top" wrapText="1"/>
    </xf>
    <xf numFmtId="0" fontId="8" fillId="7" borderId="19" xfId="0" applyFont="1" applyFill="1" applyBorder="1" applyAlignment="1">
      <alignment horizontal="center" vertical="center"/>
    </xf>
    <xf numFmtId="0" fontId="8" fillId="7" borderId="21" xfId="0" applyFont="1" applyFill="1" applyBorder="1" applyAlignment="1">
      <alignment horizontal="center" vertical="center"/>
    </xf>
    <xf numFmtId="0" fontId="8" fillId="9" borderId="22" xfId="0" applyFont="1" applyFill="1" applyBorder="1"/>
    <xf numFmtId="0" fontId="9" fillId="9" borderId="9" xfId="0" applyFont="1" applyFill="1" applyBorder="1" applyAlignment="1">
      <alignment horizontal="left" vertical="top" wrapText="1"/>
    </xf>
    <xf numFmtId="0" fontId="8" fillId="9" borderId="9" xfId="0" applyFont="1" applyFill="1" applyBorder="1" applyAlignment="1">
      <alignment horizontal="center" vertical="center"/>
    </xf>
    <xf numFmtId="0" fontId="8" fillId="9" borderId="23" xfId="0" applyFont="1" applyFill="1" applyBorder="1" applyAlignment="1">
      <alignment horizontal="center" vertical="center"/>
    </xf>
    <xf numFmtId="0" fontId="8" fillId="8" borderId="24" xfId="0" applyFont="1" applyFill="1" applyBorder="1"/>
    <xf numFmtId="0" fontId="9" fillId="8" borderId="25" xfId="0" applyFont="1" applyFill="1" applyBorder="1" applyAlignment="1">
      <alignment horizontal="left" vertical="top" wrapText="1"/>
    </xf>
    <xf numFmtId="0" fontId="8" fillId="8" borderId="25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9" borderId="20" xfId="0" applyFont="1" applyFill="1" applyBorder="1"/>
    <xf numFmtId="0" fontId="9" fillId="9" borderId="19" xfId="0" applyFont="1" applyFill="1" applyBorder="1" applyAlignment="1">
      <alignment horizontal="left" vertical="top" wrapText="1"/>
    </xf>
    <xf numFmtId="0" fontId="8" fillId="9" borderId="19" xfId="0" applyFont="1" applyFill="1" applyBorder="1" applyAlignment="1">
      <alignment horizontal="center" vertical="center"/>
    </xf>
    <xf numFmtId="0" fontId="8" fillId="9" borderId="21" xfId="0" applyFont="1" applyFill="1" applyBorder="1" applyAlignment="1">
      <alignment horizontal="center" vertical="center"/>
    </xf>
    <xf numFmtId="0" fontId="8" fillId="11" borderId="22" xfId="0" applyFont="1" applyFill="1" applyBorder="1"/>
    <xf numFmtId="0" fontId="9" fillId="11" borderId="9" xfId="0" applyFont="1" applyFill="1" applyBorder="1" applyAlignment="1">
      <alignment horizontal="left" vertical="top" wrapText="1"/>
    </xf>
    <xf numFmtId="0" fontId="8" fillId="11" borderId="9" xfId="0" applyFont="1" applyFill="1" applyBorder="1" applyAlignment="1">
      <alignment horizontal="center" vertical="center"/>
    </xf>
    <xf numFmtId="0" fontId="8" fillId="11" borderId="23" xfId="0" applyFont="1" applyFill="1" applyBorder="1" applyAlignment="1">
      <alignment horizontal="center" vertical="center"/>
    </xf>
    <xf numFmtId="0" fontId="8" fillId="10" borderId="24" xfId="0" applyFont="1" applyFill="1" applyBorder="1"/>
    <xf numFmtId="0" fontId="9" fillId="10" borderId="25" xfId="0" applyFont="1" applyFill="1" applyBorder="1" applyAlignment="1">
      <alignment horizontal="left" vertical="top" wrapText="1"/>
    </xf>
    <xf numFmtId="0" fontId="8" fillId="10" borderId="25" xfId="0" applyFont="1" applyFill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6" fontId="0" fillId="0" borderId="0" xfId="0" applyNumberFormat="1"/>
    <xf numFmtId="0" fontId="0" fillId="0" borderId="0" xfId="0" quotePrefix="1"/>
    <xf numFmtId="9" fontId="0" fillId="0" borderId="0" xfId="0" quotePrefix="1" applyNumberFormat="1"/>
    <xf numFmtId="0" fontId="1" fillId="0" borderId="0" xfId="0" applyFont="1" applyAlignment="1">
      <alignment wrapText="1"/>
    </xf>
    <xf numFmtId="167" fontId="0" fillId="0" borderId="0" xfId="0" applyNumberFormat="1"/>
    <xf numFmtId="168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/>
    <xf numFmtId="0" fontId="9" fillId="3" borderId="0" xfId="0" applyFont="1" applyFill="1" applyAlignment="1"/>
    <xf numFmtId="0" fontId="0" fillId="3" borderId="0" xfId="0" applyFill="1" applyAlignment="1"/>
    <xf numFmtId="0" fontId="9" fillId="4" borderId="17" xfId="0" applyFont="1" applyFill="1" applyBorder="1" applyAlignment="1"/>
    <xf numFmtId="0" fontId="9" fillId="3" borderId="17" xfId="0" applyFont="1" applyFill="1" applyBorder="1" applyAlignment="1"/>
    <xf numFmtId="0" fontId="9" fillId="3" borderId="18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 Share &amp; Profit Margin by US EV Manufacturer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'Competitor Analysis'!B1</c:f>
              <c:strCache>
                <c:ptCount val="1"/>
                <c:pt idx="0">
                  <c:v>Market Share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'Competitor Analysis'!$A$2:$A$8</c:f>
              <c:strCache>
                <c:ptCount val="7"/>
                <c:pt idx="0">
                  <c:v>Tesla, Inc. </c:v>
                </c:pt>
                <c:pt idx="1">
                  <c:v>Toyota Motor Company </c:v>
                </c:pt>
                <c:pt idx="2">
                  <c:v>Ford Motor Co</c:v>
                </c:pt>
                <c:pt idx="3">
                  <c:v>Honda Motor Co Ltd</c:v>
                </c:pt>
                <c:pt idx="4">
                  <c:v>General Motors Company </c:v>
                </c:pt>
                <c:pt idx="5">
                  <c:v>Hyundai Motor Group</c:v>
                </c:pt>
                <c:pt idx="6">
                  <c:v>Rivian </c:v>
                </c:pt>
              </c:strCache>
            </c:strRef>
          </c:cat>
          <c:val>
            <c:numRef>
              <c:f>'Competitor Analysis'!$B$2:$B$8</c:f>
              <c:numCache>
                <c:formatCode>0.0%</c:formatCode>
                <c:ptCount val="7"/>
                <c:pt idx="0">
                  <c:v>0.248</c:v>
                </c:pt>
                <c:pt idx="1">
                  <c:v>0.159</c:v>
                </c:pt>
                <c:pt idx="2">
                  <c:v>0.14399999999999999</c:v>
                </c:pt>
                <c:pt idx="3">
                  <c:v>8.2000000000000003E-2</c:v>
                </c:pt>
                <c:pt idx="4">
                  <c:v>7.5999999999999998E-2</c:v>
                </c:pt>
                <c:pt idx="5">
                  <c:v>5.3999999999999999E-2</c:v>
                </c:pt>
                <c:pt idx="6">
                  <c:v>3.7999999999999999E-2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6716DC15-13AE-4053-81B3-E0364835C102}"/>
            </c:ext>
          </c:extLst>
        </c:ser>
        <c:ser>
          <c:idx val="1"/>
          <c:order val="1"/>
          <c:tx>
            <c:strRef>
              <c:f>'Competitor Analysis'!C1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'Competitor Analysis'!$A$2:$A$8</c:f>
              <c:strCache>
                <c:ptCount val="7"/>
                <c:pt idx="0">
                  <c:v>Tesla, Inc. </c:v>
                </c:pt>
                <c:pt idx="1">
                  <c:v>Toyota Motor Company </c:v>
                </c:pt>
                <c:pt idx="2">
                  <c:v>Ford Motor Co</c:v>
                </c:pt>
                <c:pt idx="3">
                  <c:v>Honda Motor Co Ltd</c:v>
                </c:pt>
                <c:pt idx="4">
                  <c:v>General Motors Company </c:v>
                </c:pt>
                <c:pt idx="5">
                  <c:v>Hyundai Motor Group</c:v>
                </c:pt>
                <c:pt idx="6">
                  <c:v>Rivian </c:v>
                </c:pt>
              </c:strCache>
            </c:strRef>
          </c:cat>
          <c:val>
            <c:numRef>
              <c:f>'Competitor Analysis'!$C$2:$C$8</c:f>
              <c:numCache>
                <c:formatCode>0.0%</c:formatCode>
                <c:ptCount val="7"/>
                <c:pt idx="0">
                  <c:v>4.2999999999999997E-2</c:v>
                </c:pt>
                <c:pt idx="1">
                  <c:v>7.6999999999999999E-2</c:v>
                </c:pt>
                <c:pt idx="2">
                  <c:v>1.2E-2</c:v>
                </c:pt>
                <c:pt idx="3">
                  <c:v>-5.0000000000000001E-3</c:v>
                </c:pt>
                <c:pt idx="4">
                  <c:v>2.1999999999999999E-2</c:v>
                </c:pt>
                <c:pt idx="5">
                  <c:v>7.9000000000000001E-2</c:v>
                </c:pt>
                <c:pt idx="6">
                  <c:v>-0.24199999999999999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A6E58611-2C39-48D6-B9A1-DF78BE98E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overlap val="100"/>
        <c:axId val="1886888455"/>
        <c:axId val="1886902279"/>
      </c:barChart>
      <c:catAx>
        <c:axId val="1886888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EV Manufacturer</a:t>
                </a:r>
              </a:p>
            </c:rich>
          </c:tx>
          <c:layout>
            <c:manualLayout>
              <c:xMode val="edge"/>
              <c:yMode val="edge"/>
              <c:x val="0.42038474528677339"/>
              <c:y val="0.859783348255640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902279"/>
        <c:crosses val="autoZero"/>
        <c:auto val="1"/>
        <c:lblAlgn val="ctr"/>
        <c:lblOffset val="100"/>
        <c:noMultiLvlLbl val="0"/>
      </c:catAx>
      <c:valAx>
        <c:axId val="1886902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888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2</xdr:row>
      <xdr:rowOff>47625</xdr:rowOff>
    </xdr:from>
    <xdr:to>
      <xdr:col>17</xdr:col>
      <xdr:colOff>400050</xdr:colOff>
      <xdr:row>26</xdr:row>
      <xdr:rowOff>9525</xdr:rowOff>
    </xdr:to>
    <xdr:graphicFrame macro="">
      <xdr:nvGraphicFramePr>
        <xdr:cNvPr id="15" name="Chart 1" descr="Chart type: Stacked Column. 'Market Share', 'Profit Margin' by 'EV Manufacturer'&#10;&#10;Description automatically generated">
          <a:extLst>
            <a:ext uri="{FF2B5EF4-FFF2-40B4-BE49-F238E27FC236}">
              <a16:creationId xmlns:a16="http://schemas.microsoft.com/office/drawing/2014/main" id="{0039D298-0BDF-B0E2-BB02-544A3F24B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6C6C0D-542B-4882-A9EA-48B29C086FE5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84"/>
  <sheetViews>
    <sheetView workbookViewId="0">
      <selection activeCell="R35" sqref="R35"/>
    </sheetView>
  </sheetViews>
  <sheetFormatPr defaultRowHeight="14.45"/>
  <sheetData>
    <row r="1" spans="1:23">
      <c r="A1" t="s">
        <v>0</v>
      </c>
      <c r="L1" s="6"/>
      <c r="M1" s="7" t="s">
        <v>1</v>
      </c>
      <c r="N1" s="7"/>
      <c r="O1" s="7"/>
      <c r="P1" s="7"/>
      <c r="Q1" s="7"/>
      <c r="R1" s="7"/>
      <c r="S1" s="7"/>
      <c r="T1" s="7"/>
      <c r="U1" s="7"/>
      <c r="V1" s="7"/>
      <c r="W1" s="8"/>
    </row>
    <row r="2" spans="1:23">
      <c r="A2" t="s">
        <v>2</v>
      </c>
      <c r="L2" s="9">
        <v>1</v>
      </c>
      <c r="M2" t="s">
        <v>3</v>
      </c>
      <c r="W2" s="10"/>
    </row>
    <row r="3" spans="1:23">
      <c r="A3" t="s">
        <v>4</v>
      </c>
      <c r="L3" s="9">
        <v>2</v>
      </c>
      <c r="M3" t="s">
        <v>5</v>
      </c>
      <c r="W3" s="10"/>
    </row>
    <row r="4" spans="1:23" ht="30.95" customHeight="1">
      <c r="A4" s="4" t="s">
        <v>6</v>
      </c>
      <c r="L4" s="9">
        <v>3</v>
      </c>
      <c r="M4" t="s">
        <v>7</v>
      </c>
      <c r="W4" s="10"/>
    </row>
    <row r="5" spans="1:23" ht="23.45" customHeight="1">
      <c r="A5" s="5" t="s">
        <v>8</v>
      </c>
      <c r="L5" s="9">
        <v>4</v>
      </c>
      <c r="M5" t="s">
        <v>9</v>
      </c>
      <c r="W5" s="10"/>
    </row>
    <row r="6" spans="1:23">
      <c r="A6" s="1" t="s">
        <v>10</v>
      </c>
      <c r="L6" s="9">
        <v>5</v>
      </c>
      <c r="M6" t="s">
        <v>11</v>
      </c>
      <c r="W6" s="10"/>
    </row>
    <row r="7" spans="1:23">
      <c r="A7" s="1" t="s">
        <v>12</v>
      </c>
      <c r="L7" s="9">
        <v>6</v>
      </c>
      <c r="M7" t="s">
        <v>13</v>
      </c>
      <c r="W7" s="10"/>
    </row>
    <row r="8" spans="1:23">
      <c r="A8" t="s">
        <v>14</v>
      </c>
      <c r="L8" s="9">
        <v>7</v>
      </c>
      <c r="M8" t="s">
        <v>15</v>
      </c>
      <c r="W8" s="10"/>
    </row>
    <row r="9" spans="1:23">
      <c r="A9" t="s">
        <v>16</v>
      </c>
      <c r="L9" s="11">
        <v>8</v>
      </c>
      <c r="M9" s="12" t="s">
        <v>17</v>
      </c>
      <c r="N9" s="12"/>
      <c r="O9" s="12"/>
      <c r="P9" s="12"/>
      <c r="Q9" s="12"/>
      <c r="R9" s="12"/>
      <c r="S9" s="12"/>
      <c r="T9" s="12"/>
      <c r="U9" s="12"/>
      <c r="V9" s="12"/>
      <c r="W9" s="13"/>
    </row>
    <row r="10" spans="1:23">
      <c r="A10" t="s">
        <v>18</v>
      </c>
    </row>
    <row r="11" spans="1:23">
      <c r="A11" t="s">
        <v>19</v>
      </c>
    </row>
    <row r="12" spans="1:23">
      <c r="A12" t="s">
        <v>20</v>
      </c>
    </row>
    <row r="13" spans="1:23">
      <c r="A13" s="1" t="s">
        <v>21</v>
      </c>
    </row>
    <row r="14" spans="1:23">
      <c r="A14" t="s">
        <v>22</v>
      </c>
    </row>
    <row r="15" spans="1:23">
      <c r="A15" t="s">
        <v>23</v>
      </c>
    </row>
    <row r="16" spans="1:23">
      <c r="A16" t="s">
        <v>24</v>
      </c>
    </row>
    <row r="17" spans="1:1" ht="23.45" customHeight="1">
      <c r="A17" s="5" t="s">
        <v>25</v>
      </c>
    </row>
    <row r="18" spans="1:1">
      <c r="A18" s="1" t="s">
        <v>26</v>
      </c>
    </row>
    <row r="19" spans="1:1">
      <c r="A19" s="1" t="s">
        <v>12</v>
      </c>
    </row>
    <row r="20" spans="1:1">
      <c r="A20" t="s">
        <v>27</v>
      </c>
    </row>
    <row r="21" spans="1:1">
      <c r="A21" t="s">
        <v>28</v>
      </c>
    </row>
    <row r="22" spans="1:1">
      <c r="A22" t="s">
        <v>29</v>
      </c>
    </row>
    <row r="23" spans="1:1">
      <c r="A23" t="s">
        <v>30</v>
      </c>
    </row>
    <row r="24" spans="1:1">
      <c r="A24" t="s">
        <v>31</v>
      </c>
    </row>
    <row r="25" spans="1:1">
      <c r="A25" s="1" t="s">
        <v>21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 ht="30.95" customHeight="1">
      <c r="A29" s="4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 ht="30.95" customHeight="1">
      <c r="A38" s="4" t="s">
        <v>44</v>
      </c>
    </row>
    <row r="39" spans="1:1">
      <c r="A39" t="s">
        <v>45</v>
      </c>
    </row>
    <row r="40" spans="1:1" ht="23.45" customHeight="1">
      <c r="A40" s="5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 ht="23.45" customHeight="1">
      <c r="A48" s="5" t="s">
        <v>54</v>
      </c>
    </row>
    <row r="49" spans="1:1">
      <c r="A49" t="s">
        <v>55</v>
      </c>
    </row>
    <row r="50" spans="1:1">
      <c r="A50" t="s">
        <v>48</v>
      </c>
    </row>
    <row r="51" spans="1:1">
      <c r="A51" t="s">
        <v>56</v>
      </c>
    </row>
    <row r="52" spans="1:1">
      <c r="A52" t="s">
        <v>57</v>
      </c>
    </row>
    <row r="53" spans="1:1">
      <c r="A53" t="s">
        <v>58</v>
      </c>
    </row>
    <row r="54" spans="1:1">
      <c r="A54" t="s">
        <v>59</v>
      </c>
    </row>
    <row r="55" spans="1:1" ht="23.45" customHeight="1">
      <c r="A55" s="5" t="s">
        <v>60</v>
      </c>
    </row>
    <row r="56" spans="1:1">
      <c r="A56" t="s">
        <v>61</v>
      </c>
    </row>
    <row r="57" spans="1:1">
      <c r="A57" t="s">
        <v>48</v>
      </c>
    </row>
    <row r="58" spans="1:1">
      <c r="A58" t="s">
        <v>62</v>
      </c>
    </row>
    <row r="59" spans="1:1">
      <c r="A59" t="s">
        <v>63</v>
      </c>
    </row>
    <row r="60" spans="1:1">
      <c r="A60" t="s">
        <v>64</v>
      </c>
    </row>
    <row r="61" spans="1:1">
      <c r="A61" t="s">
        <v>65</v>
      </c>
    </row>
    <row r="62" spans="1:1" ht="23.45" customHeight="1">
      <c r="A62" s="5" t="s">
        <v>66</v>
      </c>
    </row>
    <row r="63" spans="1:1">
      <c r="A63" t="s">
        <v>67</v>
      </c>
    </row>
    <row r="64" spans="1:1">
      <c r="A64" t="s">
        <v>48</v>
      </c>
    </row>
    <row r="65" spans="1:1">
      <c r="A65" t="s">
        <v>68</v>
      </c>
    </row>
    <row r="66" spans="1:1">
      <c r="A66" t="s">
        <v>69</v>
      </c>
    </row>
    <row r="67" spans="1:1">
      <c r="A67" t="s">
        <v>70</v>
      </c>
    </row>
    <row r="68" spans="1:1" ht="30.95" customHeight="1">
      <c r="A68" s="4" t="s">
        <v>71</v>
      </c>
    </row>
    <row r="69" spans="1:1">
      <c r="A69" t="s">
        <v>72</v>
      </c>
    </row>
    <row r="70" spans="1:1">
      <c r="A70" t="s">
        <v>73</v>
      </c>
    </row>
    <row r="71" spans="1:1">
      <c r="A71" t="s">
        <v>74</v>
      </c>
    </row>
    <row r="72" spans="1:1">
      <c r="A72" t="s">
        <v>75</v>
      </c>
    </row>
    <row r="73" spans="1:1">
      <c r="A73" t="s">
        <v>76</v>
      </c>
    </row>
    <row r="74" spans="1:1">
      <c r="A74" t="s">
        <v>77</v>
      </c>
    </row>
    <row r="75" spans="1:1" ht="30.95" customHeight="1">
      <c r="A75" s="4" t="s">
        <v>78</v>
      </c>
    </row>
    <row r="76" spans="1:1">
      <c r="A76" t="s">
        <v>79</v>
      </c>
    </row>
    <row r="77" spans="1:1">
      <c r="A77" t="s">
        <v>80</v>
      </c>
    </row>
    <row r="78" spans="1:1">
      <c r="A78" t="s">
        <v>81</v>
      </c>
    </row>
    <row r="79" spans="1:1">
      <c r="A79" t="s">
        <v>82</v>
      </c>
    </row>
    <row r="80" spans="1:1">
      <c r="A80" t="s">
        <v>83</v>
      </c>
    </row>
    <row r="81" spans="1:1">
      <c r="A81" t="s">
        <v>84</v>
      </c>
    </row>
    <row r="82" spans="1:1">
      <c r="A82" s="1" t="s">
        <v>85</v>
      </c>
    </row>
    <row r="83" spans="1:1">
      <c r="A83" t="s">
        <v>86</v>
      </c>
    </row>
    <row r="84" spans="1:1">
      <c r="A84" s="1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tabSelected="1" workbookViewId="0">
      <selection activeCell="A4" sqref="A4"/>
    </sheetView>
  </sheetViews>
  <sheetFormatPr defaultRowHeight="14.45"/>
  <cols>
    <col min="1" max="1" width="90.7109375" bestFit="1" customWidth="1"/>
    <col min="2" max="2" width="39.5703125" style="3" customWidth="1"/>
  </cols>
  <sheetData>
    <row r="1" spans="1:2">
      <c r="A1" s="2" t="s">
        <v>88</v>
      </c>
      <c r="B1" s="3" t="s">
        <v>89</v>
      </c>
    </row>
    <row r="2" spans="1:2">
      <c r="A2" s="2" t="s">
        <v>90</v>
      </c>
      <c r="B2" s="3" t="s">
        <v>91</v>
      </c>
    </row>
    <row r="3" spans="1:2">
      <c r="A3" s="2" t="s">
        <v>92</v>
      </c>
      <c r="B3" s="3" t="s">
        <v>93</v>
      </c>
    </row>
    <row r="4" spans="1:2">
      <c r="A4" s="2" t="s">
        <v>94</v>
      </c>
      <c r="B4" s="3" t="s">
        <v>95</v>
      </c>
    </row>
    <row r="5" spans="1:2">
      <c r="A5" s="2" t="s">
        <v>96</v>
      </c>
      <c r="B5" s="3" t="s">
        <v>97</v>
      </c>
    </row>
    <row r="6" spans="1:2">
      <c r="A6" s="2" t="s">
        <v>98</v>
      </c>
      <c r="B6" s="3" t="s">
        <v>99</v>
      </c>
    </row>
    <row r="7" spans="1:2">
      <c r="A7" s="2" t="s">
        <v>100</v>
      </c>
      <c r="B7" s="3" t="s">
        <v>99</v>
      </c>
    </row>
    <row r="8" spans="1:2">
      <c r="A8" s="2" t="s">
        <v>101</v>
      </c>
      <c r="B8" s="3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23F3A-D0BC-4221-BACB-88E920B37BCC}">
  <dimension ref="A1:C7"/>
  <sheetViews>
    <sheetView workbookViewId="0"/>
  </sheetViews>
  <sheetFormatPr defaultRowHeight="14.45"/>
  <cols>
    <col min="1" max="1" width="17.140625" customWidth="1"/>
    <col min="2" max="2" width="50.140625" customWidth="1"/>
    <col min="3" max="3" width="11.42578125" customWidth="1"/>
  </cols>
  <sheetData>
    <row r="1" spans="1:3" ht="15">
      <c r="A1" s="1" t="s">
        <v>103</v>
      </c>
      <c r="B1" s="1" t="s">
        <v>104</v>
      </c>
      <c r="C1" s="1" t="s">
        <v>105</v>
      </c>
    </row>
    <row r="2" spans="1:3" ht="30.75">
      <c r="A2" t="s">
        <v>106</v>
      </c>
      <c r="B2" s="134" t="s">
        <v>107</v>
      </c>
      <c r="C2" t="s">
        <v>108</v>
      </c>
    </row>
    <row r="3" spans="1:3" ht="45.75">
      <c r="A3" t="s">
        <v>109</v>
      </c>
      <c r="B3" s="134" t="s">
        <v>110</v>
      </c>
      <c r="C3" t="s">
        <v>111</v>
      </c>
    </row>
    <row r="4" spans="1:3" ht="45.75">
      <c r="A4" t="s">
        <v>112</v>
      </c>
      <c r="B4" s="134" t="s">
        <v>113</v>
      </c>
      <c r="C4" t="s">
        <v>114</v>
      </c>
    </row>
    <row r="5" spans="1:3" ht="45.75">
      <c r="A5" t="s">
        <v>115</v>
      </c>
      <c r="B5" s="134" t="s">
        <v>116</v>
      </c>
      <c r="C5" t="s">
        <v>108</v>
      </c>
    </row>
    <row r="6" spans="1:3" ht="15">
      <c r="A6" t="s">
        <v>117</v>
      </c>
      <c r="B6" s="134" t="s">
        <v>118</v>
      </c>
      <c r="C6" t="s">
        <v>119</v>
      </c>
    </row>
    <row r="7" spans="1:3" ht="45.75">
      <c r="A7" t="s">
        <v>120</v>
      </c>
      <c r="B7" s="134" t="s">
        <v>121</v>
      </c>
      <c r="C7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55001-76D6-4265-BD5C-428B15B65E72}">
  <dimension ref="A1:H9"/>
  <sheetViews>
    <sheetView workbookViewId="0"/>
  </sheetViews>
  <sheetFormatPr defaultRowHeight="14.45"/>
  <cols>
    <col min="1" max="1" width="17.42578125" customWidth="1"/>
  </cols>
  <sheetData>
    <row r="1" spans="1:8" ht="15">
      <c r="A1" s="141" t="s">
        <v>122</v>
      </c>
      <c r="B1" s="141">
        <v>2025</v>
      </c>
      <c r="C1" s="141"/>
      <c r="D1" s="141"/>
      <c r="E1" s="141"/>
      <c r="F1" s="141"/>
      <c r="G1" s="141"/>
      <c r="H1" s="1">
        <v>2026</v>
      </c>
    </row>
    <row r="2" spans="1:8" ht="15">
      <c r="A2" s="141"/>
      <c r="B2" t="s">
        <v>123</v>
      </c>
      <c r="C2" t="s">
        <v>124</v>
      </c>
      <c r="D2" t="s">
        <v>125</v>
      </c>
      <c r="E2" t="s">
        <v>126</v>
      </c>
      <c r="F2" t="s">
        <v>127</v>
      </c>
      <c r="G2" t="s">
        <v>128</v>
      </c>
      <c r="H2" t="s">
        <v>129</v>
      </c>
    </row>
    <row r="3" spans="1:8">
      <c r="A3" t="s">
        <v>106</v>
      </c>
      <c r="B3">
        <v>2122</v>
      </c>
      <c r="C3">
        <v>2162</v>
      </c>
      <c r="D3">
        <v>2188</v>
      </c>
      <c r="E3">
        <v>2192</v>
      </c>
      <c r="F3">
        <v>2231</v>
      </c>
      <c r="G3" t="s">
        <v>130</v>
      </c>
      <c r="H3">
        <v>1440</v>
      </c>
    </row>
    <row r="4" spans="1:8">
      <c r="A4" t="s">
        <v>109</v>
      </c>
      <c r="B4">
        <v>300</v>
      </c>
      <c r="C4">
        <v>425</v>
      </c>
      <c r="D4">
        <v>203</v>
      </c>
      <c r="E4">
        <v>148</v>
      </c>
      <c r="F4">
        <v>680</v>
      </c>
      <c r="G4">
        <v>412</v>
      </c>
      <c r="H4">
        <v>331</v>
      </c>
    </row>
    <row r="5" spans="1:8">
      <c r="A5" t="s">
        <v>112</v>
      </c>
      <c r="B5">
        <v>5569</v>
      </c>
      <c r="C5">
        <v>5606</v>
      </c>
      <c r="D5">
        <v>5612</v>
      </c>
      <c r="E5">
        <v>5615</v>
      </c>
      <c r="F5">
        <v>5650</v>
      </c>
      <c r="G5">
        <v>5657</v>
      </c>
      <c r="H5">
        <v>5660</v>
      </c>
    </row>
    <row r="6" spans="1:8">
      <c r="A6" t="s">
        <v>115</v>
      </c>
      <c r="B6">
        <v>6748</v>
      </c>
      <c r="C6">
        <v>6846</v>
      </c>
      <c r="D6" t="s">
        <v>130</v>
      </c>
      <c r="E6">
        <v>6930</v>
      </c>
      <c r="F6">
        <v>6939</v>
      </c>
      <c r="G6">
        <v>7000</v>
      </c>
      <c r="H6">
        <v>7070</v>
      </c>
    </row>
    <row r="7" spans="1:8">
      <c r="A7" t="s">
        <v>117</v>
      </c>
      <c r="B7">
        <v>1342</v>
      </c>
      <c r="C7">
        <v>1454</v>
      </c>
      <c r="D7">
        <v>1300</v>
      </c>
      <c r="E7">
        <v>1250</v>
      </c>
      <c r="F7">
        <v>1150</v>
      </c>
      <c r="G7">
        <v>907</v>
      </c>
      <c r="H7">
        <v>662</v>
      </c>
    </row>
    <row r="8" spans="1:8">
      <c r="A8" t="s">
        <v>120</v>
      </c>
      <c r="B8" s="3" t="s">
        <v>130</v>
      </c>
      <c r="C8" s="3" t="s">
        <v>130</v>
      </c>
      <c r="D8" s="3" t="s">
        <v>130</v>
      </c>
      <c r="E8">
        <v>15</v>
      </c>
      <c r="F8">
        <v>17</v>
      </c>
      <c r="G8">
        <v>18</v>
      </c>
      <c r="H8">
        <v>34</v>
      </c>
    </row>
    <row r="9" spans="1:8">
      <c r="A9" t="s">
        <v>131</v>
      </c>
      <c r="B9">
        <v>18186</v>
      </c>
      <c r="C9">
        <v>22079</v>
      </c>
      <c r="D9">
        <v>23565</v>
      </c>
      <c r="E9">
        <v>26820</v>
      </c>
      <c r="F9">
        <v>27001</v>
      </c>
      <c r="G9">
        <v>29917</v>
      </c>
      <c r="H9">
        <v>30112</v>
      </c>
    </row>
  </sheetData>
  <mergeCells count="2">
    <mergeCell ref="A1:A2"/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1B963-6050-4BC4-9CC8-2AAF3667EB5C}">
  <dimension ref="A1:D13"/>
  <sheetViews>
    <sheetView workbookViewId="0"/>
  </sheetViews>
  <sheetFormatPr defaultRowHeight="14.45"/>
  <cols>
    <col min="1" max="2" width="16.85546875" customWidth="1"/>
    <col min="3" max="3" width="25.140625" customWidth="1"/>
    <col min="4" max="4" width="11.42578125" customWidth="1"/>
  </cols>
  <sheetData>
    <row r="1" spans="1:4" ht="15">
      <c r="A1" s="141" t="s">
        <v>122</v>
      </c>
      <c r="B1" s="141" t="s">
        <v>132</v>
      </c>
      <c r="C1" s="141" t="s">
        <v>133</v>
      </c>
      <c r="D1" s="141"/>
    </row>
    <row r="2" spans="1:4" ht="15">
      <c r="A2" s="141"/>
      <c r="B2" s="141"/>
      <c r="C2">
        <v>-0.5</v>
      </c>
      <c r="D2">
        <v>0.5</v>
      </c>
    </row>
    <row r="3" spans="1:4">
      <c r="A3" t="s">
        <v>106</v>
      </c>
      <c r="B3">
        <v>1.5</v>
      </c>
      <c r="C3" s="136" t="s">
        <v>134</v>
      </c>
      <c r="D3" s="136" t="s">
        <v>135</v>
      </c>
    </row>
    <row r="4" spans="1:4">
      <c r="A4" t="s">
        <v>109</v>
      </c>
      <c r="B4">
        <v>0.99</v>
      </c>
      <c r="C4" s="136" t="s">
        <v>136</v>
      </c>
      <c r="D4" s="136" t="s">
        <v>137</v>
      </c>
    </row>
    <row r="5" spans="1:4">
      <c r="A5" t="s">
        <v>112</v>
      </c>
      <c r="B5">
        <v>5.25</v>
      </c>
      <c r="C5" s="136" t="s">
        <v>138</v>
      </c>
      <c r="D5" s="137" t="s">
        <v>139</v>
      </c>
    </row>
    <row r="6" spans="1:4">
      <c r="A6" t="s">
        <v>115</v>
      </c>
      <c r="B6">
        <v>2.5</v>
      </c>
      <c r="C6" s="136" t="s">
        <v>140</v>
      </c>
      <c r="D6" s="136" t="s">
        <v>141</v>
      </c>
    </row>
    <row r="7" spans="1:4">
      <c r="A7" t="s">
        <v>117</v>
      </c>
      <c r="B7">
        <v>1.99</v>
      </c>
      <c r="C7" s="137" t="s">
        <v>142</v>
      </c>
      <c r="D7" s="136" t="s">
        <v>143</v>
      </c>
    </row>
    <row r="8" spans="1:4">
      <c r="A8" t="s">
        <v>120</v>
      </c>
      <c r="B8">
        <v>0</v>
      </c>
      <c r="C8" s="3" t="s">
        <v>130</v>
      </c>
      <c r="D8" s="3" t="s">
        <v>130</v>
      </c>
    </row>
    <row r="13" spans="1:4">
      <c r="D13" s="135"/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81689-208C-486E-8D28-F0D9BED5A036}">
  <dimension ref="A1:D8"/>
  <sheetViews>
    <sheetView workbookViewId="0"/>
  </sheetViews>
  <sheetFormatPr defaultRowHeight="14.45"/>
  <cols>
    <col min="1" max="1" width="22.42578125" customWidth="1"/>
    <col min="2" max="2" width="19.42578125" customWidth="1"/>
    <col min="3" max="3" width="18.42578125" customWidth="1"/>
    <col min="4" max="4" width="14.42578125" customWidth="1"/>
  </cols>
  <sheetData>
    <row r="1" spans="1:4" ht="15">
      <c r="A1" s="142" t="s">
        <v>122</v>
      </c>
      <c r="B1" s="141" t="s">
        <v>144</v>
      </c>
      <c r="C1" s="141"/>
      <c r="D1" s="141"/>
    </row>
    <row r="2" spans="1:4" s="134" customFormat="1" ht="15" customHeight="1">
      <c r="A2" s="142"/>
      <c r="B2" s="138" t="s">
        <v>145</v>
      </c>
      <c r="C2" s="138" t="s">
        <v>146</v>
      </c>
      <c r="D2" s="138" t="s">
        <v>147</v>
      </c>
    </row>
    <row r="3" spans="1:4">
      <c r="A3" t="s">
        <v>106</v>
      </c>
      <c r="B3" t="s">
        <v>148</v>
      </c>
      <c r="C3" s="139">
        <v>7.6999999999999999E-2</v>
      </c>
      <c r="D3" s="139">
        <v>0.65900000000000003</v>
      </c>
    </row>
    <row r="4" spans="1:4">
      <c r="A4" t="s">
        <v>109</v>
      </c>
      <c r="B4" t="s">
        <v>149</v>
      </c>
      <c r="C4" s="139">
        <v>0.125</v>
      </c>
      <c r="D4" s="139">
        <v>3.5000000000000003E-2</v>
      </c>
    </row>
    <row r="5" spans="1:4">
      <c r="A5" t="s">
        <v>112</v>
      </c>
      <c r="B5" t="s">
        <v>150</v>
      </c>
      <c r="C5" s="139">
        <v>1.55</v>
      </c>
      <c r="D5" s="139">
        <v>1.8149999999999999</v>
      </c>
    </row>
    <row r="6" spans="1:4">
      <c r="A6" t="s">
        <v>115</v>
      </c>
      <c r="B6" t="s">
        <v>151</v>
      </c>
      <c r="C6" s="139">
        <v>0.505</v>
      </c>
      <c r="D6" s="139">
        <v>0.495</v>
      </c>
    </row>
    <row r="7" spans="1:4">
      <c r="A7" t="s">
        <v>117</v>
      </c>
      <c r="B7" t="s">
        <v>152</v>
      </c>
      <c r="C7" s="139">
        <v>0.73099999999999998</v>
      </c>
      <c r="D7" s="139">
        <v>4.3999999999999997E-2</v>
      </c>
    </row>
    <row r="8" spans="1:4">
      <c r="A8" t="s">
        <v>120</v>
      </c>
      <c r="B8" t="s">
        <v>153</v>
      </c>
      <c r="C8" s="139">
        <v>0</v>
      </c>
      <c r="D8" s="139">
        <v>0</v>
      </c>
    </row>
  </sheetData>
  <mergeCells count="2">
    <mergeCell ref="A1:A2"/>
    <mergeCell ref="B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8BDF8"/>
  </sheetPr>
  <dimension ref="A1:H26"/>
  <sheetViews>
    <sheetView workbookViewId="0">
      <selection activeCell="C7" sqref="C7"/>
    </sheetView>
  </sheetViews>
  <sheetFormatPr defaultRowHeight="14.45"/>
  <cols>
    <col min="1" max="1" width="28" customWidth="1"/>
    <col min="2" max="2" width="20" customWidth="1"/>
    <col min="3" max="3" width="35" customWidth="1"/>
    <col min="4" max="4" width="5" customWidth="1"/>
    <col min="5" max="5" width="28" customWidth="1"/>
    <col min="6" max="6" width="45" customWidth="1"/>
    <col min="7" max="19" width="16" customWidth="1"/>
  </cols>
  <sheetData>
    <row r="1" spans="1:8" ht="18.600000000000001">
      <c r="A1" s="143" t="s">
        <v>154</v>
      </c>
      <c r="B1" s="144"/>
      <c r="C1" s="144"/>
      <c r="D1" s="144"/>
      <c r="E1" s="144"/>
      <c r="F1" s="144"/>
      <c r="G1" s="144"/>
      <c r="H1" s="144"/>
    </row>
    <row r="2" spans="1:8">
      <c r="A2" s="15"/>
      <c r="B2" s="15"/>
      <c r="C2" s="15"/>
      <c r="D2" s="15"/>
      <c r="E2" s="15"/>
      <c r="F2" s="15"/>
      <c r="G2" s="15"/>
      <c r="H2" s="15"/>
    </row>
    <row r="3" spans="1:8">
      <c r="A3" s="20" t="s">
        <v>155</v>
      </c>
      <c r="B3" s="19" t="s">
        <v>156</v>
      </c>
      <c r="C3" s="24" t="s">
        <v>157</v>
      </c>
    </row>
    <row r="4" spans="1:8">
      <c r="A4" s="21" t="s">
        <v>158</v>
      </c>
      <c r="B4" s="16" t="s">
        <v>159</v>
      </c>
      <c r="C4" s="25" t="s">
        <v>160</v>
      </c>
    </row>
    <row r="5" spans="1:8">
      <c r="A5" s="22" t="s">
        <v>161</v>
      </c>
      <c r="B5" s="17" t="s">
        <v>162</v>
      </c>
      <c r="C5" s="26" t="s">
        <v>163</v>
      </c>
    </row>
    <row r="6" spans="1:8">
      <c r="A6" s="21" t="s">
        <v>164</v>
      </c>
      <c r="B6" s="16" t="s">
        <v>165</v>
      </c>
      <c r="C6" s="25" t="s">
        <v>166</v>
      </c>
    </row>
    <row r="7" spans="1:8">
      <c r="A7" s="22" t="s">
        <v>167</v>
      </c>
      <c r="B7" s="17" t="s">
        <v>168</v>
      </c>
      <c r="C7" s="26" t="s">
        <v>169</v>
      </c>
    </row>
    <row r="8" spans="1:8">
      <c r="A8" s="21" t="s">
        <v>131</v>
      </c>
      <c r="B8" s="16" t="s">
        <v>170</v>
      </c>
      <c r="C8" s="25" t="s">
        <v>171</v>
      </c>
    </row>
    <row r="9" spans="1:8">
      <c r="A9" s="23" t="s">
        <v>172</v>
      </c>
      <c r="B9" s="18" t="s">
        <v>173</v>
      </c>
      <c r="C9" s="27" t="s">
        <v>174</v>
      </c>
    </row>
    <row r="10" spans="1:8">
      <c r="A10" s="15"/>
      <c r="B10" s="15"/>
      <c r="C10" s="15"/>
      <c r="D10" s="15"/>
      <c r="E10" s="15"/>
      <c r="F10" s="15"/>
      <c r="G10" s="15"/>
      <c r="H10" s="15"/>
    </row>
    <row r="11" spans="1:8">
      <c r="A11" s="15"/>
      <c r="B11" s="15"/>
      <c r="C11" s="15"/>
      <c r="D11" s="15"/>
      <c r="E11" s="15"/>
      <c r="F11" s="15"/>
      <c r="G11" s="15"/>
      <c r="H11" s="15"/>
    </row>
    <row r="12" spans="1:8" ht="15.6">
      <c r="A12" s="28" t="s">
        <v>175</v>
      </c>
      <c r="B12" s="29"/>
      <c r="C12" s="15"/>
      <c r="D12" s="15"/>
      <c r="E12" s="15"/>
      <c r="F12" s="15"/>
      <c r="G12" s="15"/>
      <c r="H12" s="15"/>
    </row>
    <row r="13" spans="1:8">
      <c r="A13" s="30" t="s">
        <v>176</v>
      </c>
      <c r="B13" s="145" t="s">
        <v>177</v>
      </c>
      <c r="C13" s="146"/>
      <c r="D13" s="15"/>
      <c r="E13" s="15"/>
      <c r="F13" s="15"/>
      <c r="G13" s="15"/>
      <c r="H13" s="15"/>
    </row>
    <row r="14" spans="1:8">
      <c r="A14" s="30" t="s">
        <v>178</v>
      </c>
      <c r="B14" s="145" t="s">
        <v>179</v>
      </c>
      <c r="C14" s="146"/>
      <c r="D14" s="15"/>
      <c r="E14" s="15"/>
      <c r="F14" s="15"/>
      <c r="G14" s="15"/>
      <c r="H14" s="15"/>
    </row>
    <row r="15" spans="1:8">
      <c r="A15" s="30" t="s">
        <v>180</v>
      </c>
      <c r="B15" s="145" t="s">
        <v>181</v>
      </c>
      <c r="C15" s="146"/>
      <c r="D15" s="15"/>
      <c r="E15" s="15"/>
      <c r="F15" s="15"/>
      <c r="G15" s="15"/>
      <c r="H15" s="15"/>
    </row>
    <row r="16" spans="1:8">
      <c r="A16" s="15"/>
      <c r="B16" s="15"/>
      <c r="C16" s="15"/>
      <c r="D16" s="15"/>
      <c r="E16" s="15"/>
      <c r="F16" s="15"/>
      <c r="G16" s="15"/>
      <c r="H16" s="15"/>
    </row>
    <row r="17" spans="1:8">
      <c r="A17" s="33" t="s">
        <v>182</v>
      </c>
      <c r="B17" s="32"/>
      <c r="C17" s="15"/>
      <c r="D17" s="15"/>
      <c r="E17" s="15"/>
      <c r="F17" s="15"/>
      <c r="G17" s="15"/>
      <c r="H17" s="15"/>
    </row>
    <row r="18" spans="1:8">
      <c r="A18" s="15"/>
      <c r="B18" s="15"/>
      <c r="C18" s="15"/>
      <c r="D18" s="15"/>
      <c r="E18" s="15"/>
      <c r="F18" s="15"/>
      <c r="G18" s="15"/>
      <c r="H18" s="15"/>
    </row>
    <row r="19" spans="1:8" ht="15.6">
      <c r="A19" s="15"/>
      <c r="B19" s="15"/>
      <c r="C19" s="15"/>
      <c r="D19" s="15"/>
      <c r="E19" s="34" t="s">
        <v>183</v>
      </c>
      <c r="F19" s="38"/>
      <c r="G19" s="15"/>
      <c r="H19" s="15"/>
    </row>
    <row r="20" spans="1:8">
      <c r="A20" s="15"/>
      <c r="B20" s="15"/>
      <c r="C20" s="15"/>
      <c r="D20" s="15"/>
      <c r="E20" s="35" t="s">
        <v>184</v>
      </c>
      <c r="F20" s="25" t="s">
        <v>93</v>
      </c>
      <c r="G20" s="15"/>
      <c r="H20" s="15"/>
    </row>
    <row r="21" spans="1:8">
      <c r="A21" s="15"/>
      <c r="B21" s="15"/>
      <c r="C21" s="15"/>
      <c r="D21" s="15"/>
      <c r="E21" s="36" t="s">
        <v>185</v>
      </c>
      <c r="F21" s="26" t="s">
        <v>91</v>
      </c>
      <c r="G21" s="15"/>
      <c r="H21" s="15"/>
    </row>
    <row r="22" spans="1:8">
      <c r="A22" s="15"/>
      <c r="B22" s="15"/>
      <c r="C22" s="15"/>
      <c r="D22" s="15"/>
      <c r="E22" s="35" t="s">
        <v>186</v>
      </c>
      <c r="F22" s="25" t="s">
        <v>187</v>
      </c>
      <c r="G22" s="15"/>
      <c r="H22" s="15"/>
    </row>
    <row r="23" spans="1:8">
      <c r="A23" s="15"/>
      <c r="B23" s="15"/>
      <c r="C23" s="15"/>
      <c r="D23" s="15"/>
      <c r="E23" s="36" t="s">
        <v>188</v>
      </c>
      <c r="F23" s="26" t="s">
        <v>99</v>
      </c>
      <c r="G23" s="15"/>
      <c r="H23" s="15"/>
    </row>
    <row r="24" spans="1:8">
      <c r="A24" s="15"/>
      <c r="B24" s="15"/>
      <c r="C24" s="15"/>
      <c r="D24" s="15"/>
      <c r="E24" s="35" t="s">
        <v>189</v>
      </c>
      <c r="F24" s="25" t="s">
        <v>190</v>
      </c>
      <c r="G24" s="15"/>
      <c r="H24" s="15"/>
    </row>
    <row r="25" spans="1:8">
      <c r="A25" s="15"/>
      <c r="B25" s="15"/>
      <c r="C25" s="15"/>
      <c r="D25" s="15"/>
      <c r="E25" s="36" t="s">
        <v>191</v>
      </c>
      <c r="F25" s="26" t="s">
        <v>192</v>
      </c>
      <c r="G25" s="15"/>
      <c r="H25" s="15"/>
    </row>
    <row r="26" spans="1:8">
      <c r="A26" s="15"/>
      <c r="B26" s="15"/>
      <c r="C26" s="15"/>
      <c r="D26" s="15"/>
      <c r="E26" s="37" t="s">
        <v>193</v>
      </c>
      <c r="F26" s="39" t="s">
        <v>194</v>
      </c>
      <c r="G26" s="15"/>
      <c r="H26" s="15"/>
    </row>
  </sheetData>
  <mergeCells count="4">
    <mergeCell ref="B13:C13"/>
    <mergeCell ref="B14:C14"/>
    <mergeCell ref="B15:C15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8BDF8"/>
  </sheetPr>
  <dimension ref="A1:J16"/>
  <sheetViews>
    <sheetView workbookViewId="0">
      <selection activeCell="C5" sqref="C5"/>
    </sheetView>
  </sheetViews>
  <sheetFormatPr defaultRowHeight="14.45"/>
  <cols>
    <col min="1" max="1" width="20" customWidth="1"/>
    <col min="2" max="2" width="14" customWidth="1"/>
    <col min="3" max="9" width="16" customWidth="1"/>
    <col min="10" max="10" width="22" customWidth="1"/>
    <col min="11" max="19" width="16" customWidth="1"/>
  </cols>
  <sheetData>
    <row r="1" spans="1:10" ht="18.600000000000001">
      <c r="A1" s="143" t="s">
        <v>195</v>
      </c>
      <c r="B1" s="144"/>
      <c r="C1" s="144"/>
      <c r="D1" s="144"/>
      <c r="E1" s="144"/>
      <c r="F1" s="144"/>
      <c r="G1" s="144"/>
      <c r="H1" s="144"/>
      <c r="I1" s="14"/>
      <c r="J1" s="14"/>
    </row>
    <row r="2" spans="1:10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>
      <c r="A3" s="20" t="s">
        <v>122</v>
      </c>
      <c r="B3" s="19" t="s">
        <v>105</v>
      </c>
      <c r="C3" s="19" t="s">
        <v>196</v>
      </c>
      <c r="D3" s="19" t="s">
        <v>197</v>
      </c>
      <c r="E3" s="19" t="s">
        <v>198</v>
      </c>
      <c r="F3" s="19" t="s">
        <v>199</v>
      </c>
      <c r="G3" s="19" t="s">
        <v>200</v>
      </c>
      <c r="H3" s="19" t="s">
        <v>201</v>
      </c>
      <c r="I3" s="19" t="s">
        <v>202</v>
      </c>
      <c r="J3" s="24" t="s">
        <v>203</v>
      </c>
    </row>
    <row r="4" spans="1:10">
      <c r="A4" s="48" t="s">
        <v>112</v>
      </c>
      <c r="B4" s="40" t="s">
        <v>114</v>
      </c>
      <c r="C4" s="40">
        <v>5660</v>
      </c>
      <c r="D4" s="41">
        <v>5.25</v>
      </c>
      <c r="E4" s="42">
        <v>29715</v>
      </c>
      <c r="F4" s="42">
        <v>9988</v>
      </c>
      <c r="G4" s="42">
        <v>19727</v>
      </c>
      <c r="H4" s="40" t="s">
        <v>204</v>
      </c>
      <c r="I4" s="40" t="s">
        <v>205</v>
      </c>
      <c r="J4" s="51" t="s">
        <v>206</v>
      </c>
    </row>
    <row r="5" spans="1:10">
      <c r="A5" s="49" t="s">
        <v>115</v>
      </c>
      <c r="B5" s="43" t="s">
        <v>108</v>
      </c>
      <c r="C5" s="43">
        <v>7070</v>
      </c>
      <c r="D5" s="44">
        <v>2.5</v>
      </c>
      <c r="E5" s="45">
        <v>17675</v>
      </c>
      <c r="F5" s="45">
        <v>4393</v>
      </c>
      <c r="G5" s="45">
        <v>13282</v>
      </c>
      <c r="H5" s="43" t="s">
        <v>207</v>
      </c>
      <c r="I5" s="43" t="s">
        <v>208</v>
      </c>
      <c r="J5" s="52" t="s">
        <v>209</v>
      </c>
    </row>
    <row r="6" spans="1:10">
      <c r="A6" s="48" t="s">
        <v>106</v>
      </c>
      <c r="B6" s="40" t="s">
        <v>108</v>
      </c>
      <c r="C6" s="40">
        <v>1440</v>
      </c>
      <c r="D6" s="41">
        <v>1.5</v>
      </c>
      <c r="E6" s="42">
        <v>2160</v>
      </c>
      <c r="F6" s="42">
        <v>508</v>
      </c>
      <c r="G6" s="42">
        <v>1652</v>
      </c>
      <c r="H6" s="40" t="s">
        <v>210</v>
      </c>
      <c r="I6" s="40" t="s">
        <v>211</v>
      </c>
      <c r="J6" s="51" t="s">
        <v>212</v>
      </c>
    </row>
    <row r="7" spans="1:10">
      <c r="A7" s="49" t="s">
        <v>117</v>
      </c>
      <c r="B7" s="43" t="s">
        <v>119</v>
      </c>
      <c r="C7" s="43">
        <v>662</v>
      </c>
      <c r="D7" s="44">
        <v>1.99</v>
      </c>
      <c r="E7" s="45">
        <v>1317</v>
      </c>
      <c r="F7" s="45">
        <v>770</v>
      </c>
      <c r="G7" s="45">
        <v>548</v>
      </c>
      <c r="H7" s="43" t="s">
        <v>213</v>
      </c>
      <c r="I7" s="43" t="s">
        <v>214</v>
      </c>
      <c r="J7" s="52" t="s">
        <v>215</v>
      </c>
    </row>
    <row r="8" spans="1:10">
      <c r="A8" s="48" t="s">
        <v>109</v>
      </c>
      <c r="B8" s="40" t="s">
        <v>111</v>
      </c>
      <c r="C8" s="40">
        <v>331</v>
      </c>
      <c r="D8" s="41">
        <v>0.99</v>
      </c>
      <c r="E8" s="42">
        <v>328</v>
      </c>
      <c r="F8" s="42">
        <v>194</v>
      </c>
      <c r="G8" s="42">
        <v>134</v>
      </c>
      <c r="H8" s="40" t="s">
        <v>216</v>
      </c>
      <c r="I8" s="40" t="s">
        <v>217</v>
      </c>
      <c r="J8" s="53" t="s">
        <v>218</v>
      </c>
    </row>
    <row r="9" spans="1:10">
      <c r="A9" s="49" t="s">
        <v>120</v>
      </c>
      <c r="B9" s="43" t="s">
        <v>108</v>
      </c>
      <c r="C9" s="43">
        <v>34</v>
      </c>
      <c r="D9" s="44">
        <v>0</v>
      </c>
      <c r="E9" s="45">
        <v>0</v>
      </c>
      <c r="F9" s="45">
        <v>150</v>
      </c>
      <c r="G9" s="45">
        <v>-150</v>
      </c>
      <c r="H9" s="43" t="s">
        <v>219</v>
      </c>
      <c r="I9" s="43" t="s">
        <v>220</v>
      </c>
      <c r="J9" s="54" t="s">
        <v>221</v>
      </c>
    </row>
    <row r="10" spans="1:10">
      <c r="A10" s="50" t="s">
        <v>222</v>
      </c>
      <c r="B10" s="46"/>
      <c r="C10" s="46">
        <v>15197</v>
      </c>
      <c r="D10" s="46" t="s">
        <v>223</v>
      </c>
      <c r="E10" s="47">
        <v>51195</v>
      </c>
      <c r="F10" s="47">
        <v>16003</v>
      </c>
      <c r="G10" s="47">
        <v>35192</v>
      </c>
      <c r="H10" s="46" t="s">
        <v>224</v>
      </c>
      <c r="I10" s="46" t="s">
        <v>223</v>
      </c>
      <c r="J10" s="55"/>
    </row>
    <row r="11" spans="1:10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0" ht="15.6">
      <c r="A12" s="56" t="s">
        <v>225</v>
      </c>
      <c r="B12" s="57"/>
      <c r="C12" s="57"/>
      <c r="D12" s="57"/>
      <c r="E12" s="57"/>
      <c r="F12" s="57"/>
      <c r="G12" s="57"/>
      <c r="H12" s="57"/>
      <c r="I12" s="57"/>
      <c r="J12" s="57"/>
    </row>
    <row r="13" spans="1:10">
      <c r="A13" s="58" t="s">
        <v>226</v>
      </c>
      <c r="B13" s="59"/>
      <c r="C13" s="59"/>
      <c r="D13" s="59"/>
      <c r="E13" s="59"/>
      <c r="F13" s="59"/>
      <c r="G13" s="59"/>
      <c r="H13" s="59"/>
      <c r="I13" s="59"/>
      <c r="J13" s="59"/>
    </row>
    <row r="14" spans="1:10">
      <c r="A14" s="58" t="s">
        <v>227</v>
      </c>
      <c r="B14" s="59"/>
      <c r="C14" s="59"/>
      <c r="D14" s="59"/>
      <c r="E14" s="59"/>
      <c r="F14" s="59"/>
      <c r="G14" s="59"/>
      <c r="H14" s="59"/>
      <c r="I14" s="59"/>
      <c r="J14" s="59"/>
    </row>
    <row r="15" spans="1:10">
      <c r="A15" s="58" t="s">
        <v>228</v>
      </c>
      <c r="B15" s="59"/>
      <c r="C15" s="59"/>
      <c r="D15" s="59"/>
      <c r="E15" s="59"/>
      <c r="F15" s="59"/>
      <c r="G15" s="59"/>
      <c r="H15" s="59"/>
      <c r="I15" s="59"/>
      <c r="J15" s="59"/>
    </row>
    <row r="16" spans="1:10">
      <c r="A16" s="58" t="s">
        <v>229</v>
      </c>
      <c r="B16" s="59"/>
      <c r="C16" s="59"/>
      <c r="D16" s="59"/>
      <c r="E16" s="59"/>
      <c r="F16" s="59"/>
      <c r="G16" s="59"/>
      <c r="H16" s="59"/>
      <c r="I16" s="59"/>
      <c r="J16" s="59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8BDF8"/>
  </sheetPr>
  <dimension ref="A1:H18"/>
  <sheetViews>
    <sheetView workbookViewId="0">
      <selection activeCell="C20" sqref="C20"/>
    </sheetView>
  </sheetViews>
  <sheetFormatPr defaultRowHeight="14.45"/>
  <cols>
    <col min="1" max="1" width="30.5703125" bestFit="1" customWidth="1"/>
    <col min="2" max="2" width="48.140625" bestFit="1" customWidth="1"/>
    <col min="3" max="4" width="22.5703125" bestFit="1" customWidth="1"/>
    <col min="5" max="5" width="55" customWidth="1"/>
    <col min="6" max="19" width="16" customWidth="1"/>
  </cols>
  <sheetData>
    <row r="1" spans="1:8" ht="18.600000000000001">
      <c r="A1" s="143" t="s">
        <v>230</v>
      </c>
      <c r="B1" s="144"/>
      <c r="C1" s="144"/>
      <c r="D1" s="144"/>
      <c r="E1" s="144"/>
      <c r="F1" s="144"/>
      <c r="G1" s="144"/>
      <c r="H1" s="144"/>
    </row>
    <row r="2" spans="1:8">
      <c r="A2" s="15"/>
      <c r="B2" s="15"/>
      <c r="C2" s="15"/>
      <c r="D2" s="15"/>
      <c r="E2" s="15"/>
      <c r="F2" s="15"/>
      <c r="G2" s="15"/>
      <c r="H2" s="15"/>
    </row>
    <row r="3" spans="1:8">
      <c r="A3" s="20" t="s">
        <v>122</v>
      </c>
      <c r="B3" s="19" t="s">
        <v>231</v>
      </c>
      <c r="C3" s="19" t="s">
        <v>232</v>
      </c>
      <c r="D3" s="19" t="s">
        <v>233</v>
      </c>
      <c r="E3" s="24" t="s">
        <v>234</v>
      </c>
      <c r="F3" s="15"/>
      <c r="G3" s="15"/>
      <c r="H3" s="15"/>
    </row>
    <row r="4" spans="1:8" ht="29.1">
      <c r="A4" s="21" t="s">
        <v>115</v>
      </c>
      <c r="B4" s="40" t="s">
        <v>235</v>
      </c>
      <c r="C4" s="16" t="s">
        <v>236</v>
      </c>
      <c r="D4" s="16" t="s">
        <v>237</v>
      </c>
      <c r="E4" s="63" t="s">
        <v>238</v>
      </c>
      <c r="F4" s="15"/>
      <c r="G4" s="15"/>
      <c r="H4" s="15"/>
    </row>
    <row r="5" spans="1:8">
      <c r="A5" s="22" t="s">
        <v>109</v>
      </c>
      <c r="B5" s="43" t="s">
        <v>239</v>
      </c>
      <c r="C5" s="17" t="s">
        <v>240</v>
      </c>
      <c r="D5" s="17" t="s">
        <v>241</v>
      </c>
      <c r="E5" s="64" t="s">
        <v>242</v>
      </c>
      <c r="F5" s="15"/>
      <c r="G5" s="15"/>
      <c r="H5" s="15"/>
    </row>
    <row r="6" spans="1:8">
      <c r="A6" s="21" t="s">
        <v>112</v>
      </c>
      <c r="B6" s="40" t="s">
        <v>243</v>
      </c>
      <c r="C6" s="16" t="s">
        <v>244</v>
      </c>
      <c r="D6" s="16" t="s">
        <v>245</v>
      </c>
      <c r="E6" s="63" t="s">
        <v>246</v>
      </c>
      <c r="F6" s="15"/>
      <c r="G6" s="15"/>
      <c r="H6" s="15"/>
    </row>
    <row r="7" spans="1:8">
      <c r="A7" s="22" t="s">
        <v>106</v>
      </c>
      <c r="B7" s="43" t="s">
        <v>247</v>
      </c>
      <c r="C7" s="17" t="s">
        <v>248</v>
      </c>
      <c r="D7" s="17" t="s">
        <v>249</v>
      </c>
      <c r="E7" s="64" t="s">
        <v>250</v>
      </c>
      <c r="F7" s="15"/>
      <c r="G7" s="15"/>
      <c r="H7" s="15"/>
    </row>
    <row r="8" spans="1:8">
      <c r="A8" s="21" t="s">
        <v>117</v>
      </c>
      <c r="B8" s="40" t="s">
        <v>251</v>
      </c>
      <c r="C8" s="16" t="s">
        <v>252</v>
      </c>
      <c r="D8" s="16" t="s">
        <v>253</v>
      </c>
      <c r="E8" s="63" t="s">
        <v>254</v>
      </c>
      <c r="F8" s="15"/>
      <c r="G8" s="15"/>
      <c r="H8" s="15"/>
    </row>
    <row r="9" spans="1:8">
      <c r="A9" s="23" t="s">
        <v>120</v>
      </c>
      <c r="B9" s="62" t="s">
        <v>255</v>
      </c>
      <c r="C9" s="18" t="s">
        <v>219</v>
      </c>
      <c r="D9" s="18" t="s">
        <v>219</v>
      </c>
      <c r="E9" s="65" t="s">
        <v>256</v>
      </c>
      <c r="F9" s="15"/>
      <c r="G9" s="15"/>
      <c r="H9" s="15"/>
    </row>
    <row r="10" spans="1:8">
      <c r="A10" s="15"/>
      <c r="B10" s="15"/>
      <c r="C10" s="15"/>
      <c r="D10" s="15"/>
      <c r="E10" s="15"/>
      <c r="F10" s="15"/>
      <c r="G10" s="15"/>
      <c r="H10" s="15"/>
    </row>
    <row r="11" spans="1:8">
      <c r="A11" s="15"/>
      <c r="B11" s="15"/>
      <c r="C11" s="15"/>
      <c r="D11" s="15"/>
      <c r="E11" s="15"/>
      <c r="F11" s="15"/>
      <c r="G11" s="15"/>
      <c r="H11" s="15"/>
    </row>
    <row r="12" spans="1:8" ht="15.6">
      <c r="A12" s="34" t="s">
        <v>257</v>
      </c>
      <c r="B12" s="69"/>
      <c r="C12" s="38"/>
      <c r="D12" s="15"/>
      <c r="E12" s="15"/>
      <c r="F12" s="15"/>
      <c r="G12" s="15"/>
      <c r="H12" s="15"/>
    </row>
    <row r="13" spans="1:8">
      <c r="A13" s="21" t="s">
        <v>112</v>
      </c>
      <c r="B13" s="66" t="s">
        <v>258</v>
      </c>
      <c r="C13" s="147" t="s">
        <v>259</v>
      </c>
      <c r="D13" s="146"/>
      <c r="E13" s="146"/>
      <c r="F13" s="15"/>
      <c r="G13" s="15"/>
      <c r="H13" s="15"/>
    </row>
    <row r="14" spans="1:8">
      <c r="A14" s="22" t="s">
        <v>115</v>
      </c>
      <c r="B14" s="67" t="s">
        <v>260</v>
      </c>
      <c r="C14" s="148" t="s">
        <v>261</v>
      </c>
      <c r="D14" s="146"/>
      <c r="E14" s="146"/>
      <c r="F14" s="15"/>
      <c r="G14" s="15"/>
      <c r="H14" s="15"/>
    </row>
    <row r="15" spans="1:8">
      <c r="A15" s="21" t="s">
        <v>109</v>
      </c>
      <c r="B15" s="66" t="s">
        <v>262</v>
      </c>
      <c r="C15" s="147" t="s">
        <v>263</v>
      </c>
      <c r="D15" s="146"/>
      <c r="E15" s="146"/>
      <c r="F15" s="15"/>
      <c r="G15" s="15"/>
      <c r="H15" s="15"/>
    </row>
    <row r="16" spans="1:8">
      <c r="A16" s="22" t="s">
        <v>117</v>
      </c>
      <c r="B16" s="67" t="s">
        <v>264</v>
      </c>
      <c r="C16" s="148" t="s">
        <v>265</v>
      </c>
      <c r="D16" s="146"/>
      <c r="E16" s="146"/>
      <c r="F16" s="15"/>
      <c r="G16" s="15"/>
      <c r="H16" s="15"/>
    </row>
    <row r="17" spans="1:8">
      <c r="A17" s="21" t="s">
        <v>120</v>
      </c>
      <c r="B17" s="66" t="s">
        <v>266</v>
      </c>
      <c r="C17" s="147" t="s">
        <v>267</v>
      </c>
      <c r="D17" s="146"/>
      <c r="E17" s="146"/>
      <c r="F17" s="15"/>
      <c r="G17" s="15"/>
      <c r="H17" s="15"/>
    </row>
    <row r="18" spans="1:8">
      <c r="A18" s="23" t="s">
        <v>268</v>
      </c>
      <c r="B18" s="68" t="s">
        <v>269</v>
      </c>
      <c r="C18" s="149" t="s">
        <v>270</v>
      </c>
      <c r="D18" s="146"/>
      <c r="E18" s="146"/>
      <c r="F18" s="15"/>
      <c r="G18" s="15"/>
      <c r="H18" s="15"/>
    </row>
  </sheetData>
  <mergeCells count="7">
    <mergeCell ref="C18:E18"/>
    <mergeCell ref="C17:E17"/>
    <mergeCell ref="A1:H1"/>
    <mergeCell ref="C15:E15"/>
    <mergeCell ref="C16:E16"/>
    <mergeCell ref="C14:E14"/>
    <mergeCell ref="C13:E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8BDF8"/>
  </sheetPr>
  <dimension ref="A1:I18"/>
  <sheetViews>
    <sheetView workbookViewId="0">
      <selection sqref="A1:H1"/>
    </sheetView>
  </sheetViews>
  <sheetFormatPr defaultRowHeight="14.45"/>
  <cols>
    <col min="1" max="19" width="16" customWidth="1"/>
  </cols>
  <sheetData>
    <row r="1" spans="1:9" ht="18.600000000000001">
      <c r="A1" s="143" t="s">
        <v>271</v>
      </c>
      <c r="B1" s="144"/>
      <c r="C1" s="144"/>
      <c r="D1" s="144"/>
      <c r="E1" s="144"/>
      <c r="F1" s="144"/>
      <c r="G1" s="144"/>
      <c r="H1" s="144"/>
      <c r="I1" s="14"/>
    </row>
    <row r="2" spans="1:9">
      <c r="A2" s="15"/>
      <c r="B2" s="15"/>
      <c r="C2" s="15"/>
      <c r="D2" s="15"/>
      <c r="E2" s="15"/>
      <c r="F2" s="15"/>
      <c r="G2" s="15"/>
      <c r="H2" s="15"/>
      <c r="I2" s="15"/>
    </row>
    <row r="3" spans="1:9">
      <c r="A3" s="20" t="s">
        <v>122</v>
      </c>
      <c r="B3" s="19" t="s">
        <v>272</v>
      </c>
      <c r="C3" s="19" t="s">
        <v>273</v>
      </c>
      <c r="D3" s="19" t="s">
        <v>274</v>
      </c>
      <c r="E3" s="19" t="s">
        <v>275</v>
      </c>
      <c r="F3" s="19" t="s">
        <v>276</v>
      </c>
      <c r="G3" s="19" t="s">
        <v>277</v>
      </c>
      <c r="H3" s="19" t="s">
        <v>278</v>
      </c>
      <c r="I3" s="24" t="s">
        <v>279</v>
      </c>
    </row>
    <row r="4" spans="1:9">
      <c r="A4" s="21" t="s">
        <v>115</v>
      </c>
      <c r="B4" s="40">
        <v>6748</v>
      </c>
      <c r="C4" s="40">
        <v>6846</v>
      </c>
      <c r="D4" s="40" t="s">
        <v>219</v>
      </c>
      <c r="E4" s="40">
        <v>6930</v>
      </c>
      <c r="F4" s="40">
        <v>6939</v>
      </c>
      <c r="G4" s="40">
        <v>7000</v>
      </c>
      <c r="H4" s="40">
        <v>7070</v>
      </c>
      <c r="I4" s="51" t="s">
        <v>280</v>
      </c>
    </row>
    <row r="5" spans="1:9">
      <c r="A5" s="22" t="s">
        <v>112</v>
      </c>
      <c r="B5" s="43">
        <v>5569</v>
      </c>
      <c r="C5" s="43">
        <v>5606</v>
      </c>
      <c r="D5" s="43">
        <v>5612</v>
      </c>
      <c r="E5" s="43">
        <v>5615</v>
      </c>
      <c r="F5" s="43">
        <v>5650</v>
      </c>
      <c r="G5" s="43">
        <v>5657</v>
      </c>
      <c r="H5" s="43">
        <v>5660</v>
      </c>
      <c r="I5" s="52" t="s">
        <v>281</v>
      </c>
    </row>
    <row r="6" spans="1:9">
      <c r="A6" s="21" t="s">
        <v>106</v>
      </c>
      <c r="B6" s="40">
        <v>2122</v>
      </c>
      <c r="C6" s="40">
        <v>2162</v>
      </c>
      <c r="D6" s="40">
        <v>2188</v>
      </c>
      <c r="E6" s="40">
        <v>2192</v>
      </c>
      <c r="F6" s="40">
        <v>2231</v>
      </c>
      <c r="G6" s="40" t="s">
        <v>219</v>
      </c>
      <c r="H6" s="40">
        <v>1440</v>
      </c>
      <c r="I6" s="51" t="s">
        <v>282</v>
      </c>
    </row>
    <row r="7" spans="1:9">
      <c r="A7" s="22" t="s">
        <v>117</v>
      </c>
      <c r="B7" s="43">
        <v>1342</v>
      </c>
      <c r="C7" s="43">
        <v>1454</v>
      </c>
      <c r="D7" s="43">
        <v>1300</v>
      </c>
      <c r="E7" s="43">
        <v>1250</v>
      </c>
      <c r="F7" s="43">
        <v>1150</v>
      </c>
      <c r="G7" s="43">
        <v>907</v>
      </c>
      <c r="H7" s="43">
        <v>662</v>
      </c>
      <c r="I7" s="52" t="s">
        <v>283</v>
      </c>
    </row>
    <row r="8" spans="1:9">
      <c r="A8" s="21" t="s">
        <v>109</v>
      </c>
      <c r="B8" s="40">
        <v>300</v>
      </c>
      <c r="C8" s="40">
        <v>425</v>
      </c>
      <c r="D8" s="40">
        <v>203</v>
      </c>
      <c r="E8" s="40">
        <v>148</v>
      </c>
      <c r="F8" s="40">
        <v>680</v>
      </c>
      <c r="G8" s="40">
        <v>412</v>
      </c>
      <c r="H8" s="40">
        <v>331</v>
      </c>
      <c r="I8" s="51" t="s">
        <v>284</v>
      </c>
    </row>
    <row r="9" spans="1:9">
      <c r="A9" s="22" t="s">
        <v>120</v>
      </c>
      <c r="B9" s="43" t="s">
        <v>219</v>
      </c>
      <c r="C9" s="43" t="s">
        <v>219</v>
      </c>
      <c r="D9" s="43" t="s">
        <v>219</v>
      </c>
      <c r="E9" s="43">
        <v>15</v>
      </c>
      <c r="F9" s="43">
        <v>17</v>
      </c>
      <c r="G9" s="43">
        <v>18</v>
      </c>
      <c r="H9" s="43">
        <v>34</v>
      </c>
      <c r="I9" s="54" t="s">
        <v>219</v>
      </c>
    </row>
    <row r="10" spans="1:9">
      <c r="A10" s="60" t="s">
        <v>131</v>
      </c>
      <c r="B10" s="46">
        <v>18186</v>
      </c>
      <c r="C10" s="46">
        <v>22079</v>
      </c>
      <c r="D10" s="46">
        <v>23565</v>
      </c>
      <c r="E10" s="46">
        <v>26820</v>
      </c>
      <c r="F10" s="46">
        <v>27001</v>
      </c>
      <c r="G10" s="46">
        <v>29917</v>
      </c>
      <c r="H10" s="46">
        <v>30112</v>
      </c>
      <c r="I10" s="55" t="s">
        <v>285</v>
      </c>
    </row>
    <row r="11" spans="1:9">
      <c r="A11" s="15"/>
      <c r="B11" s="15"/>
      <c r="C11" s="15"/>
      <c r="D11" s="15"/>
      <c r="E11" s="15"/>
      <c r="F11" s="15"/>
      <c r="G11" s="15"/>
      <c r="H11" s="15"/>
      <c r="I11" s="15"/>
    </row>
    <row r="12" spans="1:9">
      <c r="A12" s="15"/>
      <c r="B12" s="15"/>
      <c r="C12" s="15"/>
      <c r="D12" s="15"/>
      <c r="E12" s="15"/>
      <c r="F12" s="15"/>
      <c r="G12" s="15"/>
      <c r="H12" s="15"/>
      <c r="I12" s="15"/>
    </row>
    <row r="13" spans="1:9" ht="15.6">
      <c r="A13" s="28" t="s">
        <v>286</v>
      </c>
      <c r="B13" s="29"/>
      <c r="C13" s="29"/>
      <c r="D13" s="29"/>
      <c r="E13" s="29"/>
      <c r="F13" s="29"/>
      <c r="G13" s="29"/>
      <c r="H13" s="29"/>
      <c r="I13" s="29"/>
    </row>
    <row r="14" spans="1:9">
      <c r="A14" s="31" t="s">
        <v>287</v>
      </c>
      <c r="B14" s="61"/>
      <c r="C14" s="61"/>
      <c r="D14" s="61"/>
      <c r="E14" s="61"/>
      <c r="F14" s="61"/>
      <c r="G14" s="61"/>
      <c r="H14" s="61"/>
      <c r="I14" s="61"/>
    </row>
    <row r="15" spans="1:9">
      <c r="A15" s="31" t="s">
        <v>288</v>
      </c>
      <c r="B15" s="61"/>
      <c r="C15" s="61"/>
      <c r="D15" s="61"/>
      <c r="E15" s="61"/>
      <c r="F15" s="61"/>
      <c r="G15" s="61"/>
      <c r="H15" s="61"/>
      <c r="I15" s="61"/>
    </row>
    <row r="16" spans="1:9">
      <c r="A16" s="31" t="s">
        <v>289</v>
      </c>
      <c r="B16" s="61"/>
      <c r="C16" s="61"/>
      <c r="D16" s="61"/>
      <c r="E16" s="61"/>
      <c r="F16" s="61"/>
      <c r="G16" s="61"/>
      <c r="H16" s="61"/>
      <c r="I16" s="61"/>
    </row>
    <row r="17" spans="1:9">
      <c r="A17" s="31" t="s">
        <v>290</v>
      </c>
      <c r="B17" s="61"/>
      <c r="C17" s="61"/>
      <c r="D17" s="61"/>
      <c r="E17" s="61"/>
      <c r="F17" s="61"/>
      <c r="G17" s="61"/>
      <c r="H17" s="61"/>
      <c r="I17" s="61"/>
    </row>
    <row r="18" spans="1:9">
      <c r="A18" s="31" t="s">
        <v>291</v>
      </c>
      <c r="B18" s="61"/>
      <c r="C18" s="61"/>
      <c r="D18" s="61"/>
      <c r="E18" s="61"/>
      <c r="F18" s="61"/>
      <c r="G18" s="61"/>
      <c r="H18" s="61"/>
      <c r="I18" s="61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8BDF8"/>
  </sheetPr>
  <dimension ref="A1:I14"/>
  <sheetViews>
    <sheetView workbookViewId="0">
      <selection sqref="A1:H1"/>
    </sheetView>
  </sheetViews>
  <sheetFormatPr defaultRowHeight="14.45"/>
  <cols>
    <col min="1" max="1" width="18" customWidth="1"/>
    <col min="2" max="19" width="16" customWidth="1"/>
  </cols>
  <sheetData>
    <row r="1" spans="1:9" ht="18.600000000000001">
      <c r="A1" s="143" t="s">
        <v>292</v>
      </c>
      <c r="B1" s="144"/>
      <c r="C1" s="144"/>
      <c r="D1" s="144"/>
      <c r="E1" s="144"/>
      <c r="F1" s="144"/>
      <c r="G1" s="144"/>
      <c r="H1" s="144"/>
      <c r="I1" s="14"/>
    </row>
    <row r="2" spans="1:9">
      <c r="A2" s="15"/>
      <c r="B2" s="15"/>
      <c r="C2" s="15"/>
      <c r="D2" s="15"/>
      <c r="E2" s="15"/>
      <c r="F2" s="15"/>
      <c r="G2" s="15"/>
      <c r="H2" s="15"/>
      <c r="I2" s="15"/>
    </row>
    <row r="3" spans="1:9">
      <c r="A3" s="20" t="s">
        <v>122</v>
      </c>
      <c r="B3" s="19" t="s">
        <v>293</v>
      </c>
      <c r="C3" s="19" t="s">
        <v>294</v>
      </c>
      <c r="D3" s="19" t="s">
        <v>295</v>
      </c>
      <c r="E3" s="19" t="s">
        <v>296</v>
      </c>
      <c r="F3" s="19" t="s">
        <v>297</v>
      </c>
      <c r="G3" s="19" t="s">
        <v>298</v>
      </c>
      <c r="H3" s="19" t="s">
        <v>299</v>
      </c>
      <c r="I3" s="24" t="s">
        <v>300</v>
      </c>
    </row>
    <row r="4" spans="1:9">
      <c r="A4" s="21" t="s">
        <v>112</v>
      </c>
      <c r="B4" s="70">
        <v>1010</v>
      </c>
      <c r="C4" s="71">
        <v>1.55</v>
      </c>
      <c r="D4" s="71">
        <v>1.8149999999999999</v>
      </c>
      <c r="E4" s="40">
        <v>5660</v>
      </c>
      <c r="F4" s="70">
        <v>1010</v>
      </c>
      <c r="G4" s="70">
        <v>8773</v>
      </c>
      <c r="H4" s="70">
        <v>205</v>
      </c>
      <c r="I4" s="75">
        <v>9988</v>
      </c>
    </row>
    <row r="5" spans="1:9">
      <c r="A5" s="22" t="s">
        <v>115</v>
      </c>
      <c r="B5" s="72">
        <v>753</v>
      </c>
      <c r="C5" s="73">
        <v>0.505</v>
      </c>
      <c r="D5" s="73">
        <v>0.495</v>
      </c>
      <c r="E5" s="43">
        <v>7070</v>
      </c>
      <c r="F5" s="72">
        <v>753</v>
      </c>
      <c r="G5" s="72">
        <v>3570</v>
      </c>
      <c r="H5" s="72">
        <v>70</v>
      </c>
      <c r="I5" s="76">
        <v>4393</v>
      </c>
    </row>
    <row r="6" spans="1:9">
      <c r="A6" s="21" t="s">
        <v>106</v>
      </c>
      <c r="B6" s="70">
        <v>378</v>
      </c>
      <c r="C6" s="71">
        <v>7.6999999999999999E-2</v>
      </c>
      <c r="D6" s="71">
        <v>0.65900000000000003</v>
      </c>
      <c r="E6" s="40">
        <v>1440</v>
      </c>
      <c r="F6" s="70">
        <v>378</v>
      </c>
      <c r="G6" s="70">
        <v>111</v>
      </c>
      <c r="H6" s="70">
        <v>19</v>
      </c>
      <c r="I6" s="75">
        <v>508</v>
      </c>
    </row>
    <row r="7" spans="1:9">
      <c r="A7" s="22" t="s">
        <v>117</v>
      </c>
      <c r="B7" s="72">
        <v>285</v>
      </c>
      <c r="C7" s="73">
        <v>0.73099999999999998</v>
      </c>
      <c r="D7" s="73">
        <v>4.3999999999999997E-2</v>
      </c>
      <c r="E7" s="43">
        <v>662</v>
      </c>
      <c r="F7" s="72">
        <v>285</v>
      </c>
      <c r="G7" s="72">
        <v>484</v>
      </c>
      <c r="H7" s="72">
        <v>1</v>
      </c>
      <c r="I7" s="76">
        <v>770</v>
      </c>
    </row>
    <row r="8" spans="1:9">
      <c r="A8" s="21" t="s">
        <v>109</v>
      </c>
      <c r="B8" s="70">
        <v>152</v>
      </c>
      <c r="C8" s="71">
        <v>0.125</v>
      </c>
      <c r="D8" s="71">
        <v>3.5000000000000003E-2</v>
      </c>
      <c r="E8" s="40">
        <v>331</v>
      </c>
      <c r="F8" s="70">
        <v>152</v>
      </c>
      <c r="G8" s="70">
        <v>41</v>
      </c>
      <c r="H8" s="70">
        <v>0</v>
      </c>
      <c r="I8" s="75">
        <v>194</v>
      </c>
    </row>
    <row r="9" spans="1:9">
      <c r="A9" s="22" t="s">
        <v>120</v>
      </c>
      <c r="B9" s="72">
        <v>150</v>
      </c>
      <c r="C9" s="73">
        <v>0</v>
      </c>
      <c r="D9" s="73">
        <v>0</v>
      </c>
      <c r="E9" s="43">
        <v>34</v>
      </c>
      <c r="F9" s="72">
        <v>150</v>
      </c>
      <c r="G9" s="72">
        <v>0</v>
      </c>
      <c r="H9" s="72">
        <v>0</v>
      </c>
      <c r="I9" s="76">
        <v>150</v>
      </c>
    </row>
    <row r="10" spans="1:9">
      <c r="A10" s="60" t="s">
        <v>222</v>
      </c>
      <c r="B10" s="74"/>
      <c r="C10" s="74"/>
      <c r="D10" s="74"/>
      <c r="E10" s="74"/>
      <c r="F10" s="74"/>
      <c r="G10" s="74"/>
      <c r="H10" s="74"/>
      <c r="I10" s="77">
        <v>16003</v>
      </c>
    </row>
    <row r="11" spans="1:9">
      <c r="A11" s="15"/>
      <c r="B11" s="15"/>
      <c r="C11" s="15"/>
      <c r="D11" s="15"/>
      <c r="E11" s="15"/>
      <c r="F11" s="15"/>
      <c r="G11" s="15"/>
      <c r="H11" s="15"/>
      <c r="I11" s="15"/>
    </row>
    <row r="12" spans="1:9" ht="15.6">
      <c r="A12" s="28" t="s">
        <v>301</v>
      </c>
      <c r="B12" s="29"/>
      <c r="C12" s="29"/>
      <c r="D12" s="29"/>
      <c r="E12" s="29"/>
      <c r="F12" s="29"/>
      <c r="G12" s="29"/>
      <c r="H12" s="29"/>
      <c r="I12" s="29"/>
    </row>
    <row r="13" spans="1:9">
      <c r="A13" s="31" t="s">
        <v>302</v>
      </c>
      <c r="B13" s="61"/>
      <c r="C13" s="61"/>
      <c r="D13" s="61"/>
      <c r="E13" s="61"/>
      <c r="F13" s="61"/>
      <c r="G13" s="61"/>
      <c r="H13" s="61"/>
      <c r="I13" s="61"/>
    </row>
    <row r="14" spans="1:9">
      <c r="A14" s="31" t="s">
        <v>303</v>
      </c>
      <c r="B14" s="61"/>
      <c r="C14" s="61"/>
      <c r="D14" s="61"/>
      <c r="E14" s="61"/>
      <c r="F14" s="61"/>
      <c r="G14" s="61"/>
      <c r="H14" s="61"/>
      <c r="I14" s="61"/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8BDF8"/>
  </sheetPr>
  <dimension ref="A1:H13"/>
  <sheetViews>
    <sheetView workbookViewId="0">
      <selection activeCell="F20" sqref="F20"/>
    </sheetView>
  </sheetViews>
  <sheetFormatPr defaultRowHeight="14.45"/>
  <cols>
    <col min="1" max="1" width="24.140625" customWidth="1"/>
    <col min="2" max="19" width="16" customWidth="1"/>
  </cols>
  <sheetData>
    <row r="1" spans="1:8" ht="18.600000000000001">
      <c r="A1" s="143" t="s">
        <v>304</v>
      </c>
      <c r="B1" s="144"/>
      <c r="C1" s="144"/>
      <c r="D1" s="144"/>
      <c r="E1" s="144"/>
      <c r="F1" s="144"/>
      <c r="G1" s="144"/>
      <c r="H1" s="144"/>
    </row>
    <row r="2" spans="1:8">
      <c r="A2" s="15"/>
      <c r="B2" s="15"/>
      <c r="C2" s="15"/>
      <c r="D2" s="15"/>
      <c r="E2" s="15"/>
      <c r="F2" s="15"/>
      <c r="G2" s="15"/>
      <c r="H2" s="15"/>
    </row>
    <row r="3" spans="1:8">
      <c r="A3" s="20" t="s">
        <v>305</v>
      </c>
      <c r="B3" s="19" t="s">
        <v>306</v>
      </c>
      <c r="C3" s="19" t="s">
        <v>307</v>
      </c>
      <c r="D3" s="19" t="s">
        <v>308</v>
      </c>
      <c r="E3" s="19" t="s">
        <v>309</v>
      </c>
      <c r="F3" s="24" t="s">
        <v>310</v>
      </c>
      <c r="G3" s="15"/>
      <c r="H3" s="15"/>
    </row>
    <row r="4" spans="1:8">
      <c r="A4" s="21" t="s">
        <v>311</v>
      </c>
      <c r="B4" s="70">
        <v>51195</v>
      </c>
      <c r="C4" s="70">
        <v>56800</v>
      </c>
      <c r="D4" s="70">
        <v>63200</v>
      </c>
      <c r="E4" s="70">
        <v>70500</v>
      </c>
      <c r="F4" s="51" t="s">
        <v>312</v>
      </c>
      <c r="G4" s="15"/>
      <c r="H4" s="15"/>
    </row>
    <row r="5" spans="1:8">
      <c r="A5" s="22" t="s">
        <v>313</v>
      </c>
      <c r="B5" s="72">
        <v>51195</v>
      </c>
      <c r="C5" s="72">
        <v>62400</v>
      </c>
      <c r="D5" s="72">
        <v>78900</v>
      </c>
      <c r="E5" s="72">
        <v>98200</v>
      </c>
      <c r="F5" s="52" t="s">
        <v>314</v>
      </c>
      <c r="G5" s="15"/>
      <c r="H5" s="15"/>
    </row>
    <row r="6" spans="1:8">
      <c r="A6" s="79" t="s">
        <v>315</v>
      </c>
      <c r="B6" s="78">
        <v>51195</v>
      </c>
      <c r="C6" s="78">
        <v>50800</v>
      </c>
      <c r="D6" s="78">
        <v>50100</v>
      </c>
      <c r="E6" s="78">
        <v>49200</v>
      </c>
      <c r="F6" s="80" t="s">
        <v>316</v>
      </c>
      <c r="G6" s="15"/>
      <c r="H6" s="15"/>
    </row>
    <row r="7" spans="1:8">
      <c r="A7" s="15"/>
      <c r="B7" s="15"/>
      <c r="C7" s="15"/>
      <c r="D7" s="15"/>
      <c r="E7" s="15"/>
      <c r="F7" s="15"/>
      <c r="G7" s="15"/>
      <c r="H7" s="15"/>
    </row>
    <row r="8" spans="1:8">
      <c r="A8" s="15"/>
      <c r="B8" s="15"/>
      <c r="C8" s="15"/>
      <c r="D8" s="15"/>
      <c r="E8" s="15"/>
      <c r="F8" s="15"/>
      <c r="G8" s="15"/>
      <c r="H8" s="15"/>
    </row>
    <row r="9" spans="1:8" ht="15.6">
      <c r="A9" s="28" t="s">
        <v>317</v>
      </c>
      <c r="B9" s="29"/>
      <c r="C9" s="29"/>
      <c r="D9" s="29"/>
      <c r="E9" s="29"/>
      <c r="F9" s="29"/>
      <c r="G9" s="29"/>
      <c r="H9" s="29"/>
    </row>
    <row r="10" spans="1:8">
      <c r="A10" s="31" t="s">
        <v>318</v>
      </c>
      <c r="B10" s="61"/>
      <c r="C10" s="61"/>
      <c r="D10" s="61"/>
      <c r="E10" s="61"/>
      <c r="F10" s="61"/>
      <c r="G10" s="61"/>
      <c r="H10" s="61"/>
    </row>
    <row r="11" spans="1:8">
      <c r="A11" s="31" t="s">
        <v>319</v>
      </c>
      <c r="B11" s="61"/>
      <c r="C11" s="61"/>
      <c r="D11" s="61"/>
      <c r="E11" s="61"/>
      <c r="F11" s="61"/>
      <c r="G11" s="61"/>
      <c r="H11" s="61"/>
    </row>
    <row r="12" spans="1:8">
      <c r="A12" s="31" t="s">
        <v>320</v>
      </c>
      <c r="B12" s="61"/>
      <c r="C12" s="61"/>
      <c r="D12" s="61"/>
      <c r="E12" s="61"/>
      <c r="F12" s="61"/>
      <c r="G12" s="61"/>
      <c r="H12" s="61"/>
    </row>
    <row r="13" spans="1:8">
      <c r="A13" s="31" t="s">
        <v>321</v>
      </c>
      <c r="B13" s="61"/>
      <c r="C13" s="61"/>
      <c r="D13" s="61"/>
      <c r="E13" s="61"/>
      <c r="F13" s="61"/>
      <c r="G13" s="61"/>
      <c r="H13" s="61"/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8BDF8"/>
  </sheetPr>
  <dimension ref="A1:H21"/>
  <sheetViews>
    <sheetView topLeftCell="A6" workbookViewId="0">
      <selection activeCell="B31" sqref="B31"/>
    </sheetView>
  </sheetViews>
  <sheetFormatPr defaultRowHeight="14.45"/>
  <cols>
    <col min="1" max="1" width="14" customWidth="1"/>
    <col min="2" max="2" width="55" customWidth="1"/>
    <col min="3" max="3" width="12.140625" bestFit="1" customWidth="1"/>
    <col min="4" max="4" width="26.42578125" bestFit="1" customWidth="1"/>
    <col min="5" max="19" width="16" customWidth="1"/>
  </cols>
  <sheetData>
    <row r="1" spans="1:8" ht="18.600000000000001">
      <c r="A1" s="143" t="s">
        <v>322</v>
      </c>
      <c r="B1" s="144"/>
      <c r="C1" s="144"/>
      <c r="D1" s="144"/>
      <c r="E1" s="144"/>
      <c r="F1" s="144"/>
      <c r="G1" s="144"/>
      <c r="H1" s="144"/>
    </row>
    <row r="2" spans="1:8">
      <c r="A2" s="15"/>
      <c r="B2" s="15"/>
      <c r="C2" s="15"/>
      <c r="D2" s="15"/>
      <c r="E2" s="15"/>
      <c r="F2" s="15"/>
      <c r="G2" s="15"/>
      <c r="H2" s="15"/>
    </row>
    <row r="3" spans="1:8">
      <c r="A3" s="20" t="s">
        <v>323</v>
      </c>
      <c r="B3" s="19" t="s">
        <v>324</v>
      </c>
      <c r="C3" s="19" t="s">
        <v>325</v>
      </c>
      <c r="D3" s="24" t="s">
        <v>326</v>
      </c>
      <c r="E3" s="15"/>
      <c r="F3" s="15"/>
      <c r="G3" s="15"/>
      <c r="H3" s="15"/>
    </row>
    <row r="4" spans="1:8">
      <c r="A4" s="95" t="s">
        <v>327</v>
      </c>
      <c r="B4" s="81" t="s">
        <v>328</v>
      </c>
      <c r="C4" s="82" t="s">
        <v>329</v>
      </c>
      <c r="D4" s="102" t="s">
        <v>330</v>
      </c>
      <c r="E4" s="15"/>
      <c r="F4" s="15"/>
      <c r="G4" s="15"/>
      <c r="H4" s="15"/>
    </row>
    <row r="5" spans="1:8">
      <c r="A5" s="96" t="s">
        <v>327</v>
      </c>
      <c r="B5" s="83" t="s">
        <v>331</v>
      </c>
      <c r="C5" s="84" t="s">
        <v>329</v>
      </c>
      <c r="D5" s="103" t="s">
        <v>332</v>
      </c>
      <c r="E5" s="15"/>
      <c r="F5" s="15"/>
      <c r="G5" s="15"/>
      <c r="H5" s="15"/>
    </row>
    <row r="6" spans="1:8">
      <c r="A6" s="95" t="s">
        <v>327</v>
      </c>
      <c r="B6" s="81" t="s">
        <v>333</v>
      </c>
      <c r="C6" s="82" t="s">
        <v>334</v>
      </c>
      <c r="D6" s="102" t="s">
        <v>335</v>
      </c>
      <c r="E6" s="15"/>
      <c r="F6" s="15"/>
      <c r="G6" s="15"/>
      <c r="H6" s="15"/>
    </row>
    <row r="7" spans="1:8" ht="29.1">
      <c r="A7" s="96" t="s">
        <v>327</v>
      </c>
      <c r="B7" s="83" t="s">
        <v>336</v>
      </c>
      <c r="C7" s="84" t="s">
        <v>337</v>
      </c>
      <c r="D7" s="103" t="s">
        <v>338</v>
      </c>
      <c r="E7" s="15"/>
      <c r="F7" s="15"/>
      <c r="G7" s="15"/>
      <c r="H7" s="15"/>
    </row>
    <row r="8" spans="1:8">
      <c r="A8" s="109" t="s">
        <v>327</v>
      </c>
      <c r="B8" s="110" t="s">
        <v>339</v>
      </c>
      <c r="C8" s="111" t="s">
        <v>329</v>
      </c>
      <c r="D8" s="112" t="s">
        <v>340</v>
      </c>
      <c r="E8" s="15"/>
      <c r="F8" s="15"/>
      <c r="G8" s="15"/>
      <c r="H8" s="15"/>
    </row>
    <row r="9" spans="1:8" ht="15" thickBot="1">
      <c r="A9" s="117" t="s">
        <v>327</v>
      </c>
      <c r="B9" s="118" t="s">
        <v>341</v>
      </c>
      <c r="C9" s="119" t="s">
        <v>342</v>
      </c>
      <c r="D9" s="120" t="s">
        <v>343</v>
      </c>
      <c r="E9" s="15"/>
      <c r="F9" s="15"/>
      <c r="G9" s="15"/>
      <c r="H9" s="15"/>
    </row>
    <row r="10" spans="1:8">
      <c r="A10" s="113" t="s">
        <v>344</v>
      </c>
      <c r="B10" s="114" t="s">
        <v>345</v>
      </c>
      <c r="C10" s="115" t="s">
        <v>329</v>
      </c>
      <c r="D10" s="116" t="s">
        <v>346</v>
      </c>
      <c r="E10" s="15"/>
      <c r="F10" s="15"/>
      <c r="G10" s="15"/>
      <c r="H10" s="15"/>
    </row>
    <row r="11" spans="1:8" ht="29.1">
      <c r="A11" s="98" t="s">
        <v>344</v>
      </c>
      <c r="B11" s="87" t="s">
        <v>347</v>
      </c>
      <c r="C11" s="88" t="s">
        <v>348</v>
      </c>
      <c r="D11" s="105" t="s">
        <v>349</v>
      </c>
      <c r="E11" s="15"/>
      <c r="F11" s="15"/>
      <c r="G11" s="15"/>
      <c r="H11" s="15"/>
    </row>
    <row r="12" spans="1:8">
      <c r="A12" s="97" t="s">
        <v>344</v>
      </c>
      <c r="B12" s="85" t="s">
        <v>350</v>
      </c>
      <c r="C12" s="86" t="s">
        <v>351</v>
      </c>
      <c r="D12" s="104" t="s">
        <v>352</v>
      </c>
      <c r="E12" s="15"/>
      <c r="F12" s="15"/>
      <c r="G12" s="15"/>
      <c r="H12" s="15"/>
    </row>
    <row r="13" spans="1:8">
      <c r="A13" s="98" t="s">
        <v>344</v>
      </c>
      <c r="B13" s="87" t="s">
        <v>353</v>
      </c>
      <c r="C13" s="88" t="s">
        <v>334</v>
      </c>
      <c r="D13" s="105" t="s">
        <v>354</v>
      </c>
      <c r="E13" s="15"/>
      <c r="F13" s="15"/>
      <c r="G13" s="15"/>
      <c r="H13" s="15"/>
    </row>
    <row r="14" spans="1:8">
      <c r="A14" s="121" t="s">
        <v>344</v>
      </c>
      <c r="B14" s="122" t="s">
        <v>355</v>
      </c>
      <c r="C14" s="123" t="s">
        <v>329</v>
      </c>
      <c r="D14" s="124" t="s">
        <v>356</v>
      </c>
      <c r="E14" s="15"/>
      <c r="F14" s="15"/>
      <c r="G14" s="15"/>
      <c r="H14" s="15"/>
    </row>
    <row r="15" spans="1:8" ht="15" thickBot="1">
      <c r="A15" s="129" t="s">
        <v>344</v>
      </c>
      <c r="B15" s="130" t="s">
        <v>357</v>
      </c>
      <c r="C15" s="131" t="s">
        <v>310</v>
      </c>
      <c r="D15" s="132" t="s">
        <v>358</v>
      </c>
      <c r="E15" s="15"/>
      <c r="F15" s="15"/>
      <c r="G15" s="15"/>
      <c r="H15" s="15"/>
    </row>
    <row r="16" spans="1:8">
      <c r="A16" s="125" t="s">
        <v>359</v>
      </c>
      <c r="B16" s="126" t="s">
        <v>360</v>
      </c>
      <c r="C16" s="127" t="s">
        <v>361</v>
      </c>
      <c r="D16" s="128" t="s">
        <v>362</v>
      </c>
      <c r="E16" s="15"/>
      <c r="F16" s="15"/>
      <c r="G16" s="15"/>
      <c r="H16" s="15"/>
    </row>
    <row r="17" spans="1:8">
      <c r="A17" s="100" t="s">
        <v>359</v>
      </c>
      <c r="B17" s="91" t="s">
        <v>363</v>
      </c>
      <c r="C17" s="92" t="s">
        <v>342</v>
      </c>
      <c r="D17" s="107" t="s">
        <v>364</v>
      </c>
      <c r="E17" s="15"/>
      <c r="F17" s="15"/>
      <c r="G17" s="15"/>
      <c r="H17" s="15"/>
    </row>
    <row r="18" spans="1:8" ht="29.1">
      <c r="A18" s="99" t="s">
        <v>359</v>
      </c>
      <c r="B18" s="89" t="s">
        <v>365</v>
      </c>
      <c r="C18" s="90" t="s">
        <v>366</v>
      </c>
      <c r="D18" s="106" t="s">
        <v>367</v>
      </c>
      <c r="E18" s="15"/>
      <c r="F18" s="15"/>
      <c r="G18" s="15"/>
      <c r="H18" s="15"/>
    </row>
    <row r="19" spans="1:8">
      <c r="A19" s="100" t="s">
        <v>359</v>
      </c>
      <c r="B19" s="91" t="s">
        <v>368</v>
      </c>
      <c r="C19" s="92" t="s">
        <v>348</v>
      </c>
      <c r="D19" s="107" t="s">
        <v>369</v>
      </c>
      <c r="E19" s="15"/>
      <c r="F19" s="15"/>
      <c r="G19" s="15"/>
      <c r="H19" s="15"/>
    </row>
    <row r="20" spans="1:8">
      <c r="A20" s="99" t="s">
        <v>359</v>
      </c>
      <c r="B20" s="89" t="s">
        <v>370</v>
      </c>
      <c r="C20" s="90" t="s">
        <v>342</v>
      </c>
      <c r="D20" s="106" t="s">
        <v>371</v>
      </c>
      <c r="E20" s="15"/>
      <c r="F20" s="15"/>
      <c r="G20" s="15"/>
      <c r="H20" s="15"/>
    </row>
    <row r="21" spans="1:8">
      <c r="A21" s="101" t="s">
        <v>359</v>
      </c>
      <c r="B21" s="93" t="s">
        <v>372</v>
      </c>
      <c r="C21" s="94" t="s">
        <v>373</v>
      </c>
      <c r="D21" s="108" t="s">
        <v>374</v>
      </c>
      <c r="E21" s="15"/>
      <c r="F21" s="15"/>
      <c r="G21" s="15"/>
      <c r="H21" s="15"/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8BDF8"/>
  </sheetPr>
  <dimension ref="A1:H22"/>
  <sheetViews>
    <sheetView topLeftCell="A6" zoomScale="115" zoomScaleNormal="115" workbookViewId="0">
      <selection sqref="A1:H1"/>
    </sheetView>
  </sheetViews>
  <sheetFormatPr defaultRowHeight="14.45"/>
  <cols>
    <col min="1" max="1" width="25" customWidth="1"/>
    <col min="2" max="2" width="88.85546875" customWidth="1"/>
    <col min="3" max="19" width="16" customWidth="1"/>
  </cols>
  <sheetData>
    <row r="1" spans="1:8" ht="18.600000000000001">
      <c r="A1" s="143" t="s">
        <v>375</v>
      </c>
      <c r="B1" s="144"/>
      <c r="C1" s="144"/>
      <c r="D1" s="144"/>
      <c r="E1" s="144"/>
      <c r="F1" s="144"/>
      <c r="G1" s="144"/>
      <c r="H1" s="144"/>
    </row>
    <row r="2" spans="1:8">
      <c r="A2" s="15"/>
      <c r="B2" s="15"/>
      <c r="C2" s="15"/>
      <c r="D2" s="15"/>
      <c r="E2" s="15"/>
      <c r="F2" s="15"/>
      <c r="G2" s="15"/>
      <c r="H2" s="15"/>
    </row>
    <row r="3" spans="1:8" ht="15.6">
      <c r="A3" s="34" t="s">
        <v>376</v>
      </c>
      <c r="B3" s="38"/>
      <c r="C3" s="15"/>
      <c r="D3" s="15"/>
      <c r="E3" s="15"/>
      <c r="F3" s="15"/>
      <c r="G3" s="15"/>
      <c r="H3" s="15"/>
    </row>
    <row r="4" spans="1:8">
      <c r="A4" s="21" t="s">
        <v>377</v>
      </c>
      <c r="B4" s="63" t="s">
        <v>378</v>
      </c>
      <c r="C4" s="15"/>
      <c r="D4" s="15"/>
      <c r="E4" s="15"/>
      <c r="F4" s="15"/>
      <c r="G4" s="15"/>
      <c r="H4" s="15"/>
    </row>
    <row r="5" spans="1:8" ht="29.1">
      <c r="A5" s="22" t="s">
        <v>379</v>
      </c>
      <c r="B5" s="64" t="s">
        <v>380</v>
      </c>
      <c r="C5" s="15"/>
      <c r="D5" s="15"/>
      <c r="E5" s="15"/>
      <c r="F5" s="15"/>
      <c r="G5" s="15"/>
      <c r="H5" s="15"/>
    </row>
    <row r="6" spans="1:8" ht="29.1">
      <c r="A6" s="21" t="s">
        <v>381</v>
      </c>
      <c r="B6" s="63" t="s">
        <v>382</v>
      </c>
      <c r="C6" s="15"/>
      <c r="D6" s="15"/>
      <c r="E6" s="15"/>
      <c r="F6" s="15"/>
      <c r="G6" s="15"/>
      <c r="H6" s="15"/>
    </row>
    <row r="7" spans="1:8" ht="29.1">
      <c r="A7" s="22" t="s">
        <v>383</v>
      </c>
      <c r="B7" s="64" t="s">
        <v>384</v>
      </c>
      <c r="C7" s="15"/>
      <c r="D7" s="15"/>
      <c r="E7" s="15"/>
      <c r="F7" s="15"/>
      <c r="G7" s="15"/>
      <c r="H7" s="15"/>
    </row>
    <row r="8" spans="1:8" ht="29.1">
      <c r="A8" s="21" t="s">
        <v>385</v>
      </c>
      <c r="B8" s="63" t="s">
        <v>386</v>
      </c>
      <c r="C8" s="15"/>
      <c r="D8" s="15"/>
      <c r="E8" s="15"/>
      <c r="F8" s="15"/>
      <c r="G8" s="15"/>
      <c r="H8" s="15"/>
    </row>
    <row r="9" spans="1:8" ht="29.1">
      <c r="A9" s="22" t="s">
        <v>387</v>
      </c>
      <c r="B9" s="64" t="s">
        <v>388</v>
      </c>
      <c r="C9" s="15"/>
      <c r="D9" s="15"/>
      <c r="E9" s="15"/>
      <c r="F9" s="15"/>
      <c r="G9" s="15"/>
      <c r="H9" s="15"/>
    </row>
    <row r="10" spans="1:8" ht="29.1">
      <c r="A10" s="21" t="s">
        <v>389</v>
      </c>
      <c r="B10" s="63" t="s">
        <v>390</v>
      </c>
      <c r="C10" s="15"/>
      <c r="D10" s="15"/>
      <c r="E10" s="15"/>
      <c r="F10" s="15"/>
      <c r="G10" s="15"/>
      <c r="H10" s="15"/>
    </row>
    <row r="11" spans="1:8" ht="29.1">
      <c r="A11" s="22" t="s">
        <v>391</v>
      </c>
      <c r="B11" s="64" t="s">
        <v>392</v>
      </c>
      <c r="C11" s="15"/>
      <c r="D11" s="15"/>
      <c r="E11" s="15"/>
      <c r="F11" s="15"/>
      <c r="G11" s="15"/>
      <c r="H11" s="15"/>
    </row>
    <row r="12" spans="1:8" ht="29.1">
      <c r="A12" s="21" t="s">
        <v>393</v>
      </c>
      <c r="B12" s="63" t="s">
        <v>394</v>
      </c>
      <c r="C12" s="15"/>
      <c r="D12" s="15"/>
      <c r="E12" s="15"/>
      <c r="F12" s="15"/>
      <c r="G12" s="15"/>
      <c r="H12" s="15"/>
    </row>
    <row r="13" spans="1:8">
      <c r="A13" s="22" t="s">
        <v>395</v>
      </c>
      <c r="B13" s="64" t="s">
        <v>396</v>
      </c>
      <c r="C13" s="15"/>
      <c r="D13" s="15"/>
      <c r="E13" s="15"/>
      <c r="F13" s="15"/>
      <c r="G13" s="15"/>
      <c r="H13" s="15"/>
    </row>
    <row r="14" spans="1:8">
      <c r="A14" s="79" t="s">
        <v>397</v>
      </c>
      <c r="B14" s="133" t="s">
        <v>398</v>
      </c>
      <c r="C14" s="15"/>
      <c r="D14" s="15"/>
      <c r="E14" s="15"/>
      <c r="F14" s="15"/>
      <c r="G14" s="15"/>
      <c r="H14" s="15"/>
    </row>
    <row r="15" spans="1:8">
      <c r="A15" s="15"/>
      <c r="B15" s="15"/>
      <c r="C15" s="15"/>
      <c r="D15" s="15"/>
      <c r="E15" s="15"/>
      <c r="F15" s="15"/>
      <c r="G15" s="15"/>
      <c r="H15" s="15"/>
    </row>
    <row r="16" spans="1:8">
      <c r="A16" s="15"/>
      <c r="B16" s="15"/>
      <c r="C16" s="15"/>
      <c r="D16" s="15"/>
      <c r="E16" s="15"/>
      <c r="F16" s="15"/>
      <c r="G16" s="15"/>
      <c r="H16" s="15"/>
    </row>
    <row r="17" spans="1:8" ht="15.6">
      <c r="A17" s="34" t="s">
        <v>399</v>
      </c>
      <c r="B17" s="38"/>
      <c r="C17" s="15"/>
      <c r="D17" s="15"/>
      <c r="E17" s="15"/>
      <c r="F17" s="15"/>
      <c r="G17" s="15"/>
      <c r="H17" s="15"/>
    </row>
    <row r="18" spans="1:8">
      <c r="A18" s="21" t="s">
        <v>400</v>
      </c>
      <c r="B18" s="25" t="s">
        <v>401</v>
      </c>
      <c r="C18" s="15"/>
      <c r="D18" s="15"/>
      <c r="E18" s="15"/>
      <c r="F18" s="15"/>
      <c r="G18" s="15"/>
      <c r="H18" s="15"/>
    </row>
    <row r="19" spans="1:8">
      <c r="A19" s="22" t="s">
        <v>402</v>
      </c>
      <c r="B19" s="26" t="s">
        <v>403</v>
      </c>
      <c r="C19" s="15"/>
      <c r="D19" s="15"/>
      <c r="E19" s="15"/>
      <c r="F19" s="15"/>
      <c r="G19" s="15"/>
      <c r="H19" s="15"/>
    </row>
    <row r="20" spans="1:8">
      <c r="A20" s="21" t="s">
        <v>404</v>
      </c>
      <c r="B20" s="25" t="s">
        <v>405</v>
      </c>
      <c r="C20" s="15"/>
      <c r="D20" s="15"/>
      <c r="E20" s="15"/>
      <c r="F20" s="15"/>
      <c r="G20" s="15"/>
      <c r="H20" s="15"/>
    </row>
    <row r="21" spans="1:8">
      <c r="A21" s="22" t="s">
        <v>406</v>
      </c>
      <c r="B21" s="26" t="s">
        <v>407</v>
      </c>
      <c r="C21" s="15"/>
      <c r="D21" s="15"/>
      <c r="E21" s="15"/>
      <c r="F21" s="15"/>
      <c r="G21" s="15"/>
      <c r="H21" s="15"/>
    </row>
    <row r="22" spans="1:8">
      <c r="A22" s="79" t="s">
        <v>408</v>
      </c>
      <c r="B22" s="39" t="s">
        <v>409</v>
      </c>
      <c r="C22" s="15"/>
      <c r="D22" s="15"/>
      <c r="E22" s="15"/>
      <c r="F22" s="15"/>
      <c r="G22" s="15"/>
      <c r="H22" s="15"/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0F93-856A-4DD7-9FAC-3263F70260CB}">
  <dimension ref="A1:C8"/>
  <sheetViews>
    <sheetView workbookViewId="0">
      <selection activeCell="D8" sqref="D8"/>
    </sheetView>
  </sheetViews>
  <sheetFormatPr defaultRowHeight="15"/>
  <cols>
    <col min="1" max="1" width="24.5703125" bestFit="1" customWidth="1"/>
    <col min="2" max="2" width="13" bestFit="1" customWidth="1"/>
    <col min="3" max="3" width="12.7109375" bestFit="1" customWidth="1"/>
  </cols>
  <sheetData>
    <row r="1" spans="1:3">
      <c r="A1" s="1" t="s">
        <v>410</v>
      </c>
      <c r="B1" s="1" t="s">
        <v>411</v>
      </c>
      <c r="C1" s="1" t="s">
        <v>412</v>
      </c>
    </row>
    <row r="2" spans="1:3">
      <c r="A2" t="s">
        <v>413</v>
      </c>
      <c r="B2" s="140">
        <v>0.248</v>
      </c>
      <c r="C2" s="140">
        <v>4.2999999999999997E-2</v>
      </c>
    </row>
    <row r="3" spans="1:3">
      <c r="A3" t="s">
        <v>414</v>
      </c>
      <c r="B3" s="140">
        <v>0.159</v>
      </c>
      <c r="C3" s="140">
        <v>7.6999999999999999E-2</v>
      </c>
    </row>
    <row r="4" spans="1:3">
      <c r="A4" t="s">
        <v>415</v>
      </c>
      <c r="B4" s="140">
        <v>0.14399999999999999</v>
      </c>
      <c r="C4" s="140">
        <v>1.2E-2</v>
      </c>
    </row>
    <row r="5" spans="1:3">
      <c r="A5" t="s">
        <v>416</v>
      </c>
      <c r="B5" s="140">
        <v>8.2000000000000003E-2</v>
      </c>
      <c r="C5" s="140">
        <v>-5.0000000000000001E-3</v>
      </c>
    </row>
    <row r="6" spans="1:3">
      <c r="A6" t="s">
        <v>417</v>
      </c>
      <c r="B6" s="140">
        <v>7.5999999999999998E-2</v>
      </c>
      <c r="C6" s="140">
        <v>2.1999999999999999E-2</v>
      </c>
    </row>
    <row r="7" spans="1:3">
      <c r="A7" t="s">
        <v>418</v>
      </c>
      <c r="B7" s="140">
        <v>5.3999999999999999E-2</v>
      </c>
      <c r="C7" s="140">
        <v>7.9000000000000001E-2</v>
      </c>
    </row>
    <row r="8" spans="1:3">
      <c r="A8" t="s">
        <v>419</v>
      </c>
      <c r="B8" s="140">
        <v>3.7999999999999999E-2</v>
      </c>
      <c r="C8" s="140">
        <v>-0.24199999999999999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</dc:creator>
  <cp:keywords/>
  <dc:description/>
  <cp:lastModifiedBy/>
  <cp:revision/>
  <dcterms:created xsi:type="dcterms:W3CDTF">2026-02-25T23:14:33Z</dcterms:created>
  <dcterms:modified xsi:type="dcterms:W3CDTF">2026-03-03T02:14:14Z</dcterms:modified>
  <cp:category/>
  <cp:contentStatus/>
</cp:coreProperties>
</file>